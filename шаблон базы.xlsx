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склад" sheetId="1" r:id="rId1"/>
    <sheet name="СНО-3П" sheetId="2" r:id="rId2"/>
    <sheet name="ШП.11-300" sheetId="3" r:id="rId3"/>
  </sheets>
  <definedNames>
    <definedName name="_xlnm._FilterDatabase" localSheetId="0" hidden="1">склад!$A$2:$H$202</definedName>
    <definedName name="_xlnm._FilterDatabase" localSheetId="1" hidden="1">'СНО-3П'!$A$3:$F$3</definedName>
  </definedNames>
  <calcPr calcId="145621"/>
</workbook>
</file>

<file path=xl/calcChain.xml><?xml version="1.0" encoding="utf-8"?>
<calcChain xmlns="http://schemas.openxmlformats.org/spreadsheetml/2006/main">
  <c r="K99" i="1" l="1"/>
  <c r="F16" i="1" l="1"/>
  <c r="K88" i="1" l="1"/>
  <c r="K87" i="1"/>
  <c r="F14" i="1" l="1"/>
  <c r="K98" i="1" l="1"/>
  <c r="K97" i="1"/>
  <c r="K95" i="1"/>
  <c r="K94" i="1"/>
  <c r="K93" i="1"/>
  <c r="K92" i="1"/>
  <c r="K91" i="1"/>
  <c r="K90" i="1"/>
  <c r="K89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F143" i="1" l="1"/>
  <c r="F146" i="1"/>
  <c r="F186" i="1"/>
  <c r="F185" i="1"/>
</calcChain>
</file>

<file path=xl/sharedStrings.xml><?xml version="1.0" encoding="utf-8"?>
<sst xmlns="http://schemas.openxmlformats.org/spreadsheetml/2006/main" count="1029" uniqueCount="294">
  <si>
    <t>Болт М10х70</t>
  </si>
  <si>
    <t>№пп</t>
  </si>
  <si>
    <t>Здесь состав станка и количество деталей в одном станке</t>
  </si>
  <si>
    <t>наименование</t>
  </si>
  <si>
    <t>лазер</t>
  </si>
  <si>
    <t>промэкс</t>
  </si>
  <si>
    <t>сварка</t>
  </si>
  <si>
    <t xml:space="preserve">Вилка </t>
  </si>
  <si>
    <t>Эл. Компонент</t>
  </si>
  <si>
    <t>Электрика</t>
  </si>
  <si>
    <t>DIN рейка</t>
  </si>
  <si>
    <t>автомат 16А</t>
  </si>
  <si>
    <t>Шина заземления</t>
  </si>
  <si>
    <t>Выключатель клавишный KCD4</t>
  </si>
  <si>
    <t>Колпачок для клавишного выключателя</t>
  </si>
  <si>
    <t>Кнопка красная 22мм</t>
  </si>
  <si>
    <t>Кнопка зеленая 22мм</t>
  </si>
  <si>
    <t>колпачок круглый для кнопки</t>
  </si>
  <si>
    <t>ручка потенциометра</t>
  </si>
  <si>
    <t>потенциометр 5 КОМ</t>
  </si>
  <si>
    <t>провод монтажный ПУГВ белый</t>
  </si>
  <si>
    <t>провод монтажный ПУГВ желто-зеленый</t>
  </si>
  <si>
    <t>гильза обжимная НШВИ</t>
  </si>
  <si>
    <t>Наконечник под винт М4</t>
  </si>
  <si>
    <t>Наконечник под винт М8</t>
  </si>
  <si>
    <t>Элком</t>
  </si>
  <si>
    <t>ЭТМ</t>
  </si>
  <si>
    <t>Алиэкспресс</t>
  </si>
  <si>
    <t>Уголок полки СНО-3</t>
  </si>
  <si>
    <t>Фальшдно</t>
  </si>
  <si>
    <t xml:space="preserve">опорная планка </t>
  </si>
  <si>
    <t>накладка опорной планки</t>
  </si>
  <si>
    <t>Поворотная пластина заднего брызговика</t>
  </si>
  <si>
    <t>Тормоз</t>
  </si>
  <si>
    <t>Кронштейн мотора внутренний</t>
  </si>
  <si>
    <t>Кронштейн мотора наружний</t>
  </si>
  <si>
    <t>кол-во</t>
  </si>
  <si>
    <t>тип</t>
  </si>
  <si>
    <t>где</t>
  </si>
  <si>
    <t>Толя</t>
  </si>
  <si>
    <t>Ролик В=22 мм</t>
  </si>
  <si>
    <t>Шток</t>
  </si>
  <si>
    <t>токарные</t>
  </si>
  <si>
    <t>покупные</t>
  </si>
  <si>
    <t>Вал линейный 800 мм</t>
  </si>
  <si>
    <t>подшипник линейный LM20UU</t>
  </si>
  <si>
    <t>Подшипник линейный в корпусе SC20UU</t>
  </si>
  <si>
    <t>Держатель вала 20 мм SF20</t>
  </si>
  <si>
    <t>Подшипник шариковый 6203</t>
  </si>
  <si>
    <t>Сальник 20х40х10</t>
  </si>
  <si>
    <t>заглушка пластиковая 50х50</t>
  </si>
  <si>
    <t>пруток 10 мм</t>
  </si>
  <si>
    <t>Ключ 22мм</t>
  </si>
  <si>
    <t>Ключ L-обр 17мм</t>
  </si>
  <si>
    <t>Ключ 13 мм</t>
  </si>
  <si>
    <t>Ключ 8 мм</t>
  </si>
  <si>
    <t>Ключ имбусовый 4 мм</t>
  </si>
  <si>
    <t>Шпатель</t>
  </si>
  <si>
    <t>инструмент</t>
  </si>
  <si>
    <t>ножка резиновая</t>
  </si>
  <si>
    <t>диск отрезной 250 мм</t>
  </si>
  <si>
    <t>Болт М10х40</t>
  </si>
  <si>
    <t>Болт М10х90</t>
  </si>
  <si>
    <t>Болт М10х60</t>
  </si>
  <si>
    <t>Болт М10х20 нерж</t>
  </si>
  <si>
    <t>Болт М8х70</t>
  </si>
  <si>
    <t>Болт М8х20</t>
  </si>
  <si>
    <t>Винт М5х10 нерж впотай</t>
  </si>
  <si>
    <t>Винт М5х8 нерж шестигр</t>
  </si>
  <si>
    <t>Болт М6х40 оц неполн</t>
  </si>
  <si>
    <t>Винт М5х10 полукруг</t>
  </si>
  <si>
    <t>Гайка М10 оц</t>
  </si>
  <si>
    <t>Гровер М10 оц</t>
  </si>
  <si>
    <t>Гайка М10 самоконтр</t>
  </si>
  <si>
    <t>Гайка М8 оц</t>
  </si>
  <si>
    <t>Гайка М8 нерж</t>
  </si>
  <si>
    <t>Шайба М10 увелич</t>
  </si>
  <si>
    <t>Втулка МУВП 10мм</t>
  </si>
  <si>
    <t>Кольцо МУВП 10 мм</t>
  </si>
  <si>
    <t>Кольцо МУВП 35 мм</t>
  </si>
  <si>
    <t>шайба М6 нерж</t>
  </si>
  <si>
    <t>Гайка М6 самоконтр нерж</t>
  </si>
  <si>
    <t>РТИ</t>
  </si>
  <si>
    <t>метизы</t>
  </si>
  <si>
    <t>заклепка вытяж сталь 5 мм</t>
  </si>
  <si>
    <t>заклепка нерж 4 мм</t>
  </si>
  <si>
    <t>заклепка ал 4 мм</t>
  </si>
  <si>
    <t>гайка нерж М14</t>
  </si>
  <si>
    <t>Шайба М14 нерж</t>
  </si>
  <si>
    <t>Гайка М16 соединит</t>
  </si>
  <si>
    <t>тормоз тисков текстолит</t>
  </si>
  <si>
    <t>подставка упора текстолит</t>
  </si>
  <si>
    <t>втулка винта тисков</t>
  </si>
  <si>
    <t>винт тисков</t>
  </si>
  <si>
    <t>гайка рукоятка затяжки тормоза</t>
  </si>
  <si>
    <t>ЧПУ</t>
  </si>
  <si>
    <t>Трос</t>
  </si>
  <si>
    <t>Крюк S-образный</t>
  </si>
  <si>
    <t>Скоба такелажная</t>
  </si>
  <si>
    <t>Кольцо стопорное внутр 40 мм</t>
  </si>
  <si>
    <t>Кольцо стопорное наруж  16 мм</t>
  </si>
  <si>
    <t>Шпонка сегм 5х5х18</t>
  </si>
  <si>
    <t>промкомпл</t>
  </si>
  <si>
    <t>Леня</t>
  </si>
  <si>
    <t xml:space="preserve">Ящик синий </t>
  </si>
  <si>
    <t>кабельный ввод RG-11</t>
  </si>
  <si>
    <t xml:space="preserve">Ремень приводной </t>
  </si>
  <si>
    <t xml:space="preserve">кран шаровый </t>
  </si>
  <si>
    <t>Линейка нержавеющая</t>
  </si>
  <si>
    <t>Рама СНО-3/СНО-4</t>
  </si>
  <si>
    <t>Частотник ESQ 210, 5А</t>
  </si>
  <si>
    <t xml:space="preserve">Щит ЩМП </t>
  </si>
  <si>
    <t>Кабель КГ 3х1,5</t>
  </si>
  <si>
    <t>заглушка ножки СНО-3</t>
  </si>
  <si>
    <t>уголок крепления направляющей короткий СНО</t>
  </si>
  <si>
    <t>Перемычка СНО</t>
  </si>
  <si>
    <t>уголок крепления направляющей длинный СНО</t>
  </si>
  <si>
    <t>Стол СНО-3</t>
  </si>
  <si>
    <t>Петля стола СНО</t>
  </si>
  <si>
    <t>Основание петли СНО</t>
  </si>
  <si>
    <t>основание защелки СНО</t>
  </si>
  <si>
    <t>ручка защелки СНО</t>
  </si>
  <si>
    <t>Площадка штифта СНО</t>
  </si>
  <si>
    <t>Пластина задняя вертикальная СНО</t>
  </si>
  <si>
    <t>Пластина задняя горизонтальная СНО</t>
  </si>
  <si>
    <t>Пластина передняя вертикальная СНО</t>
  </si>
  <si>
    <t>Пластина передняя горизонтальная СНО</t>
  </si>
  <si>
    <t>Пластина нажимная СНО</t>
  </si>
  <si>
    <t>Ребро жесткости заднее СНО</t>
  </si>
  <si>
    <t>Ребро жесткости переднее СНО</t>
  </si>
  <si>
    <t>уголок ролика СНО</t>
  </si>
  <si>
    <t>Щека блока СНО</t>
  </si>
  <si>
    <t>Тройник СНО</t>
  </si>
  <si>
    <t>гиря СНО</t>
  </si>
  <si>
    <t>Основание заднего брызговика СНО</t>
  </si>
  <si>
    <t>Передний брызговик СНО</t>
  </si>
  <si>
    <t>Упор СНО</t>
  </si>
  <si>
    <t>Кронштейн упора СНО</t>
  </si>
  <si>
    <t>Стрелка СНО</t>
  </si>
  <si>
    <t>Скоба съемника СНО</t>
  </si>
  <si>
    <t>Крышка съемника СНО</t>
  </si>
  <si>
    <t>Передняя панель СНО</t>
  </si>
  <si>
    <t>Кронштейн СНО</t>
  </si>
  <si>
    <t>Замок СНО</t>
  </si>
  <si>
    <t>Поддон СНО</t>
  </si>
  <si>
    <t>Вал СНО-3</t>
  </si>
  <si>
    <t>Корпус шпинделя правый СНО</t>
  </si>
  <si>
    <t>Корпус шпинделя левый СНО</t>
  </si>
  <si>
    <t>кольцо СНО</t>
  </si>
  <si>
    <t>Втулка 22,23 мм СНО</t>
  </si>
  <si>
    <t>Втулка 25,4 мм СНО</t>
  </si>
  <si>
    <t>Втулка 32 мм СНО</t>
  </si>
  <si>
    <t>Шайба 22,23 мм СНО-3</t>
  </si>
  <si>
    <t>Шайба 25,4 мм СНО-3</t>
  </si>
  <si>
    <t>Шайба 32 мм СНО-3</t>
  </si>
  <si>
    <t>Шайба 20 мм СНО-3</t>
  </si>
  <si>
    <t>втулка дистанционная СНО</t>
  </si>
  <si>
    <t>втулка поперечной направляющей СНО</t>
  </si>
  <si>
    <t>блок СНО</t>
  </si>
  <si>
    <t>Ось защелки СНО</t>
  </si>
  <si>
    <t>Ось блока СНО</t>
  </si>
  <si>
    <t>Втулка направляющая СНО</t>
  </si>
  <si>
    <t>Втулка внутренняя СНО</t>
  </si>
  <si>
    <t>Втулка Наружняя СНО</t>
  </si>
  <si>
    <t>Втулка центровочная СНО</t>
  </si>
  <si>
    <t>Стержень СНО</t>
  </si>
  <si>
    <t>Ось колодки СНО</t>
  </si>
  <si>
    <t>Гайка тормозной колодки СНО</t>
  </si>
  <si>
    <t>Шкив ведомый 28 зубьев СНО</t>
  </si>
  <si>
    <t>Шкив ведущий 22 зуба СНО-3</t>
  </si>
  <si>
    <t>Втулка кронштейна нижняя СНО</t>
  </si>
  <si>
    <t>Шайба прижимная СНО-3</t>
  </si>
  <si>
    <t>Втулка болтов тормоза Сно</t>
  </si>
  <si>
    <t>где куплен</t>
  </si>
  <si>
    <t>дата покупки</t>
  </si>
  <si>
    <t>цена покупки</t>
  </si>
  <si>
    <t>кто купил</t>
  </si>
  <si>
    <t>Остаток на складе</t>
  </si>
  <si>
    <t>Винт тисков СНО</t>
  </si>
  <si>
    <t>Кронштейн мотора СНО-4</t>
  </si>
  <si>
    <t>Шайба 22,23 мм СНО-4</t>
  </si>
  <si>
    <t>Шайба 25,4 мм СНО-4</t>
  </si>
  <si>
    <t>Шайба 32 мм СНО-4</t>
  </si>
  <si>
    <t>Шайба 20 мм СНО-4</t>
  </si>
  <si>
    <t>Вал СНО-4</t>
  </si>
  <si>
    <t>втулка упора СНО</t>
  </si>
  <si>
    <t>Втулка упора СНО</t>
  </si>
  <si>
    <t>А</t>
  </si>
  <si>
    <t>Двигатель 1,1 кВт, 3000 об/мин</t>
  </si>
  <si>
    <t>Примечание</t>
  </si>
  <si>
    <t xml:space="preserve">заглушка ножки </t>
  </si>
  <si>
    <t>неокраш, не обраб</t>
  </si>
  <si>
    <t>Стол СНО-4</t>
  </si>
  <si>
    <t>2 окр + 16 заготовок</t>
  </si>
  <si>
    <t>3 окр 3 неокр</t>
  </si>
  <si>
    <t>втулка дистанционная СНО-3</t>
  </si>
  <si>
    <t>втулка дистанционная СНО-4</t>
  </si>
  <si>
    <t>Шкив ведущий 28 зубьев СНО-4</t>
  </si>
  <si>
    <t>Ремень приводной 365</t>
  </si>
  <si>
    <t>Ремень приводной 425</t>
  </si>
  <si>
    <t>Резинка дл я троса</t>
  </si>
  <si>
    <t>упор заднего борта ГАЗ 3202</t>
  </si>
  <si>
    <t>К</t>
  </si>
  <si>
    <t>креп комп</t>
  </si>
  <si>
    <t>Болт нержавеющий М6х25</t>
  </si>
  <si>
    <t>все инструменты</t>
  </si>
  <si>
    <t>Шланг резиновый внут Д 16 мм</t>
  </si>
  <si>
    <t>Хомут винтовой 20 мм</t>
  </si>
  <si>
    <t>резина</t>
  </si>
  <si>
    <t>сантехника</t>
  </si>
  <si>
    <t>вест мет</t>
  </si>
  <si>
    <t>сгон 80 мм</t>
  </si>
  <si>
    <t>футорка</t>
  </si>
  <si>
    <t>неизв</t>
  </si>
  <si>
    <t>Сумма</t>
  </si>
  <si>
    <t>переключатель 3х позиционный для ШП</t>
  </si>
  <si>
    <t xml:space="preserve"> </t>
  </si>
  <si>
    <t>петрович</t>
  </si>
  <si>
    <t>K</t>
  </si>
  <si>
    <t>duxe</t>
  </si>
  <si>
    <t>с расточкой и пазом (+900)</t>
  </si>
  <si>
    <t>Володя</t>
  </si>
  <si>
    <t>Частотник ESQ 230, 7А</t>
  </si>
  <si>
    <t>Тиски СНО компл</t>
  </si>
  <si>
    <t>неокр</t>
  </si>
  <si>
    <t>КОМПЛЕКТ ЛАЗЕР СНО</t>
  </si>
  <si>
    <t>СНО-4</t>
  </si>
  <si>
    <t>Комплект сантехники СНО</t>
  </si>
  <si>
    <t>винт тормозатисков</t>
  </si>
  <si>
    <t>всего компл</t>
  </si>
  <si>
    <t>зарплата женя</t>
  </si>
  <si>
    <t>аренда</t>
  </si>
  <si>
    <t>зарплата костя</t>
  </si>
  <si>
    <t>окраска</t>
  </si>
  <si>
    <t>Вал</t>
  </si>
  <si>
    <t>СНП-2.Т01.3</t>
  </si>
  <si>
    <t>Корпус шпинделя</t>
  </si>
  <si>
    <t>СНП-2.Т02</t>
  </si>
  <si>
    <t>Адаптер лампы</t>
  </si>
  <si>
    <t>СНП-2.Т03</t>
  </si>
  <si>
    <t>Втулка стойки</t>
  </si>
  <si>
    <t>СНП-2.К04.2</t>
  </si>
  <si>
    <t>Втулка дистанционная</t>
  </si>
  <si>
    <t>СНП-2.К05</t>
  </si>
  <si>
    <t>Втулка промежуточная</t>
  </si>
  <si>
    <t>Шайба опорная 20 мм</t>
  </si>
  <si>
    <t>СНП-2.К07</t>
  </si>
  <si>
    <t>Шайба опорная 22,23 мм</t>
  </si>
  <si>
    <t>СНП-2.К08</t>
  </si>
  <si>
    <t>Шайба опорная 32 мм</t>
  </si>
  <si>
    <t>СНП-2.К10</t>
  </si>
  <si>
    <t>Шайба прижимная 20 мм</t>
  </si>
  <si>
    <t>СНП-2.К11.1</t>
  </si>
  <si>
    <t>Шайба прижимная 22,23 мм</t>
  </si>
  <si>
    <t>СНП-2.К12.1</t>
  </si>
  <si>
    <t>Шайба прижимная 32 мм</t>
  </si>
  <si>
    <t>СНП-2.К14.1</t>
  </si>
  <si>
    <t>Проставка</t>
  </si>
  <si>
    <t>СНП-2.К15</t>
  </si>
  <si>
    <t>Шайба вала</t>
  </si>
  <si>
    <t>б/н</t>
  </si>
  <si>
    <t>Шайба корпуса</t>
  </si>
  <si>
    <t>Гайка с начечкой</t>
  </si>
  <si>
    <t>СНП-2.К16</t>
  </si>
  <si>
    <t>Площадка стойки _ СНП-2.10.dxf</t>
  </si>
  <si>
    <t>Стойка _ СНП-2.11.dxf</t>
  </si>
  <si>
    <t>Уголок.m3d</t>
  </si>
  <si>
    <t>Кронштейн мотора передний _ СНП-2.14.dxf</t>
  </si>
  <si>
    <t>Кронштейн мотора задний _ СНП-2.15.dxf</t>
  </si>
  <si>
    <t>Основание СНП-3 _ СНП-3.01.dxf</t>
  </si>
  <si>
    <t>Вертикальный щит СНП-3 _ СНП-3.02.dxf</t>
  </si>
  <si>
    <t>Перемычка верхняя _ СНП-3.03.dxf</t>
  </si>
  <si>
    <t>Перемычка _ СНП-3.04.dxf</t>
  </si>
  <si>
    <t>Задняя стенка _ СНП-3.05.dxf</t>
  </si>
  <si>
    <t>Задняя панель _ СНП-3.06.dxf</t>
  </si>
  <si>
    <t>Левая стенка _ СНП-3.07.dxf</t>
  </si>
  <si>
    <t>Салазки.m3d</t>
  </si>
  <si>
    <t>Передняя панель _ СНП-3.09.dxf</t>
  </si>
  <si>
    <t>Крышка _ СНП-3.10.dxf</t>
  </si>
  <si>
    <t>Основание съемника _ СНП-С.01.dxf</t>
  </si>
  <si>
    <t>Крышка съемника _ СНП-С.02.dxf</t>
  </si>
  <si>
    <t>Полировальник _ СНП-3.16.dxf</t>
  </si>
  <si>
    <t>Держатель стола _ СНП-3.17.dxf</t>
  </si>
  <si>
    <t>Уголок петли _ СНП-3.18.dxf</t>
  </si>
  <si>
    <t>Петля.m3d</t>
  </si>
  <si>
    <t>Угол-накладка _ СНП-3.20.m3d</t>
  </si>
  <si>
    <t>Накладка стола V31-05-22.dxf</t>
  </si>
  <si>
    <t>двигатель СНП</t>
  </si>
  <si>
    <t>Муфта</t>
  </si>
  <si>
    <t>корпус упора</t>
  </si>
  <si>
    <t>пластинка упора</t>
  </si>
  <si>
    <t>Круг шлифовальный (барабан)</t>
  </si>
  <si>
    <t>Двигатель 2,2 кВт, 3000 об/мин</t>
  </si>
  <si>
    <t>Частотник ESQ 230, 9А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</si>
</sst>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14" fontId="0" fillId="0" borderId="1" xfId="0" applyNumberFormat="1" applyBorder="1"/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Fill="1" applyBorder="1"/>
    <xf numFmtId="0" fontId="0" fillId="0" borderId="2" xfId="0" applyFill="1" applyBorder="1"/>
    <xf numFmtId="16" fontId="0" fillId="0" borderId="1" xfId="0" applyNumberFormat="1" applyBorder="1"/>
    <xf numFmtId="2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14" fontId="0" fillId="0" borderId="0" xfId="0" applyNumberFormat="1"/>
    <xf numFmtId="2" fontId="2" fillId="0" borderId="2" xfId="0" applyNumberFormat="1" applyFont="1" applyFill="1" applyBorder="1" applyAlignment="1">
      <alignment horizontal="right" vertical="center" wrapText="1"/>
    </xf>
    <xf numFmtId="0" fontId="1" fillId="0" borderId="3" xfId="0" applyFont="1" applyFill="1" applyBorder="1"/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7"/>
  <sheetViews>
    <sheetView tabSelected="1" zoomScale="85" zoomScaleNormal="85" workbookViewId="0">
      <pane xSplit="6" ySplit="2" topLeftCell="G6" activePane="bottomRight" state="frozen"/>
      <selection pane="topRight" activeCell="G1" sqref="G1"/>
      <selection pane="bottomLeft" activeCell="A3" sqref="A3"/>
      <selection pane="bottomRight" activeCell="B13" sqref="B13"/>
    </sheetView>
  </sheetViews>
  <sheetFormatPr defaultRowHeight="15" x14ac:dyDescent="0.25"/>
  <cols>
    <col min="1" max="1" width="8.140625" customWidth="1"/>
    <col min="2" max="2" width="39.85546875" customWidth="1"/>
    <col min="3" max="3" width="11" customWidth="1"/>
    <col min="4" max="4" width="15.28515625" customWidth="1"/>
    <col min="5" max="5" width="11.7109375" customWidth="1"/>
    <col min="6" max="6" width="9.140625" customWidth="1"/>
    <col min="7" max="7" width="6" customWidth="1"/>
    <col min="8" max="8" width="20.5703125" style="9" customWidth="1"/>
    <col min="9" max="9" width="49.140625" customWidth="1"/>
    <col min="11" max="11" width="12.28515625" customWidth="1"/>
  </cols>
  <sheetData>
    <row r="1" spans="1:11" x14ac:dyDescent="0.25">
      <c r="A1" s="4" t="s">
        <v>1</v>
      </c>
      <c r="B1" s="4" t="s">
        <v>187</v>
      </c>
      <c r="C1" s="4" t="s">
        <v>37</v>
      </c>
      <c r="D1" s="4" t="s">
        <v>173</v>
      </c>
      <c r="E1" s="6" t="s">
        <v>174</v>
      </c>
      <c r="F1" s="6" t="s">
        <v>175</v>
      </c>
      <c r="G1" s="6" t="s">
        <v>176</v>
      </c>
      <c r="H1" s="8" t="s">
        <v>177</v>
      </c>
      <c r="I1" s="10" t="s">
        <v>189</v>
      </c>
      <c r="K1" s="17" t="s">
        <v>214</v>
      </c>
    </row>
    <row r="2" spans="1:11" x14ac:dyDescent="0.25">
      <c r="A2" s="5"/>
      <c r="B2" s="5"/>
      <c r="C2" s="5"/>
      <c r="D2" s="5"/>
      <c r="E2" s="5"/>
      <c r="F2" s="5"/>
      <c r="G2" s="5"/>
      <c r="H2" s="2"/>
    </row>
    <row r="3" spans="1:11" x14ac:dyDescent="0.25">
      <c r="A3" s="5">
        <v>1</v>
      </c>
      <c r="B3" s="5" t="s">
        <v>109</v>
      </c>
      <c r="C3" s="5" t="s">
        <v>6</v>
      </c>
      <c r="D3" s="5" t="s">
        <v>39</v>
      </c>
      <c r="E3" s="7">
        <v>44916</v>
      </c>
      <c r="F3" s="5">
        <v>12829</v>
      </c>
      <c r="G3" s="5" t="s">
        <v>202</v>
      </c>
      <c r="H3" s="2"/>
    </row>
    <row r="4" spans="1:11" x14ac:dyDescent="0.25">
      <c r="A4" s="5">
        <v>2</v>
      </c>
      <c r="B4" s="5" t="s">
        <v>292</v>
      </c>
      <c r="C4" s="5" t="s">
        <v>8</v>
      </c>
      <c r="D4" s="5" t="s">
        <v>25</v>
      </c>
      <c r="E4" s="5"/>
      <c r="F4" s="5"/>
      <c r="G4" s="5"/>
      <c r="H4" s="2"/>
    </row>
    <row r="5" spans="1:11" x14ac:dyDescent="0.25">
      <c r="A5" s="5"/>
      <c r="B5" s="5" t="s">
        <v>188</v>
      </c>
      <c r="C5" s="5" t="s">
        <v>8</v>
      </c>
      <c r="D5" s="5"/>
      <c r="E5" s="5"/>
      <c r="F5" s="5"/>
      <c r="G5" s="5"/>
      <c r="H5" s="2"/>
    </row>
    <row r="6" spans="1:11" x14ac:dyDescent="0.25">
      <c r="A6" s="5">
        <v>3</v>
      </c>
      <c r="B6" s="5" t="s">
        <v>222</v>
      </c>
      <c r="C6" s="5" t="s">
        <v>8</v>
      </c>
      <c r="D6" s="5" t="s">
        <v>25</v>
      </c>
      <c r="E6" s="5"/>
      <c r="F6" s="7"/>
      <c r="G6" s="5"/>
      <c r="H6" s="2"/>
    </row>
    <row r="7" spans="1:11" x14ac:dyDescent="0.25">
      <c r="A7" s="5"/>
      <c r="B7" s="5" t="s">
        <v>293</v>
      </c>
      <c r="C7" s="5"/>
      <c r="D7" s="5"/>
      <c r="E7" s="5"/>
      <c r="F7" s="7"/>
      <c r="G7" s="5"/>
      <c r="H7" s="2"/>
    </row>
    <row r="8" spans="1:11" x14ac:dyDescent="0.25">
      <c r="A8" s="5">
        <v>4</v>
      </c>
      <c r="B8" s="5" t="s">
        <v>111</v>
      </c>
      <c r="C8" s="5" t="s">
        <v>9</v>
      </c>
      <c r="D8" s="5" t="s">
        <v>26</v>
      </c>
      <c r="E8" s="5"/>
      <c r="F8" s="7"/>
      <c r="G8" s="5"/>
      <c r="H8" s="2"/>
    </row>
    <row r="9" spans="1:11" x14ac:dyDescent="0.25">
      <c r="A9" s="5">
        <v>5</v>
      </c>
      <c r="B9" s="5" t="s">
        <v>112</v>
      </c>
      <c r="C9" s="5" t="s">
        <v>9</v>
      </c>
      <c r="D9" s="5" t="s">
        <v>26</v>
      </c>
      <c r="E9" s="5"/>
      <c r="F9" s="7"/>
      <c r="G9" s="5"/>
      <c r="H9" s="2"/>
    </row>
    <row r="10" spans="1:11" x14ac:dyDescent="0.25">
      <c r="A10" s="5">
        <v>6</v>
      </c>
      <c r="B10" s="5" t="s">
        <v>7</v>
      </c>
      <c r="C10" s="5" t="s">
        <v>9</v>
      </c>
      <c r="D10" s="5" t="s">
        <v>26</v>
      </c>
      <c r="E10" s="5"/>
      <c r="F10" s="7"/>
      <c r="G10" s="5"/>
      <c r="H10" s="2"/>
    </row>
    <row r="11" spans="1:11" x14ac:dyDescent="0.25">
      <c r="A11" s="5">
        <v>7</v>
      </c>
      <c r="B11" s="5" t="s">
        <v>10</v>
      </c>
      <c r="C11" s="5" t="s">
        <v>9</v>
      </c>
      <c r="D11" s="5" t="s">
        <v>26</v>
      </c>
      <c r="E11" s="5"/>
      <c r="F11" s="7"/>
      <c r="G11" s="5"/>
      <c r="H11" s="2"/>
    </row>
    <row r="12" spans="1:11" x14ac:dyDescent="0.25">
      <c r="A12" s="5">
        <v>8</v>
      </c>
      <c r="B12" s="5" t="s">
        <v>11</v>
      </c>
      <c r="C12" s="5" t="s">
        <v>9</v>
      </c>
      <c r="D12" s="5" t="s">
        <v>26</v>
      </c>
      <c r="E12" s="5"/>
      <c r="F12" s="7"/>
      <c r="G12" s="5"/>
      <c r="H12" s="2"/>
    </row>
    <row r="13" spans="1:11" x14ac:dyDescent="0.25">
      <c r="A13" s="5">
        <v>9</v>
      </c>
      <c r="B13" s="5" t="s">
        <v>12</v>
      </c>
      <c r="C13" s="5" t="s">
        <v>9</v>
      </c>
      <c r="D13" s="5" t="s">
        <v>26</v>
      </c>
      <c r="E13" s="5"/>
      <c r="F13" s="5"/>
      <c r="G13" s="5"/>
      <c r="H13" s="2"/>
    </row>
    <row r="14" spans="1:11" x14ac:dyDescent="0.25">
      <c r="A14" s="5">
        <v>10</v>
      </c>
      <c r="B14" s="5" t="s">
        <v>13</v>
      </c>
      <c r="C14" s="5" t="s">
        <v>9</v>
      </c>
      <c r="D14" s="5" t="s">
        <v>27</v>
      </c>
      <c r="E14" s="12">
        <v>44937</v>
      </c>
      <c r="F14" s="5">
        <f>1537/20</f>
        <v>76.849999999999994</v>
      </c>
      <c r="G14" s="5" t="s">
        <v>202</v>
      </c>
      <c r="H14" s="2"/>
    </row>
    <row r="15" spans="1:11" x14ac:dyDescent="0.25">
      <c r="A15" s="5">
        <v>11</v>
      </c>
      <c r="B15" s="5" t="s">
        <v>14</v>
      </c>
      <c r="C15" s="5" t="s">
        <v>9</v>
      </c>
      <c r="D15" s="5" t="s">
        <v>27</v>
      </c>
      <c r="E15" s="5"/>
      <c r="F15" s="5"/>
      <c r="G15" s="5"/>
      <c r="H15" s="2"/>
    </row>
    <row r="16" spans="1:11" x14ac:dyDescent="0.25">
      <c r="A16" s="5"/>
      <c r="B16" s="5" t="s">
        <v>14</v>
      </c>
      <c r="C16" s="5" t="s">
        <v>9</v>
      </c>
      <c r="D16" s="5" t="s">
        <v>27</v>
      </c>
      <c r="E16" s="12">
        <v>44941</v>
      </c>
      <c r="F16" s="5">
        <f>378/15</f>
        <v>25.2</v>
      </c>
      <c r="G16" s="5" t="s">
        <v>202</v>
      </c>
      <c r="H16" s="2"/>
    </row>
    <row r="17" spans="1:11" x14ac:dyDescent="0.25">
      <c r="A17" s="5">
        <v>12</v>
      </c>
      <c r="B17" s="5" t="s">
        <v>15</v>
      </c>
      <c r="C17" s="5" t="s">
        <v>9</v>
      </c>
      <c r="D17" s="5" t="s">
        <v>26</v>
      </c>
      <c r="E17" s="5"/>
      <c r="F17" s="5"/>
      <c r="G17" s="5"/>
      <c r="H17" s="2"/>
    </row>
    <row r="18" spans="1:11" x14ac:dyDescent="0.25">
      <c r="A18" s="5">
        <v>13</v>
      </c>
      <c r="B18" s="5" t="s">
        <v>16</v>
      </c>
      <c r="C18" s="5" t="s">
        <v>9</v>
      </c>
      <c r="D18" s="5" t="s">
        <v>26</v>
      </c>
      <c r="E18" s="5"/>
      <c r="F18" s="5"/>
      <c r="G18" s="5"/>
      <c r="H18" s="2"/>
    </row>
    <row r="19" spans="1:11" x14ac:dyDescent="0.25">
      <c r="A19" s="5"/>
      <c r="B19" s="5" t="s">
        <v>17</v>
      </c>
      <c r="C19" s="5" t="s">
        <v>9</v>
      </c>
      <c r="D19" s="5" t="s">
        <v>26</v>
      </c>
      <c r="E19" s="12">
        <v>44935</v>
      </c>
      <c r="F19" s="5">
        <v>12.5</v>
      </c>
      <c r="G19" s="5"/>
      <c r="H19" s="2"/>
    </row>
    <row r="20" spans="1:11" x14ac:dyDescent="0.25">
      <c r="A20" s="5">
        <v>14</v>
      </c>
      <c r="B20" s="5" t="s">
        <v>17</v>
      </c>
      <c r="C20" s="5" t="s">
        <v>9</v>
      </c>
      <c r="D20" s="5" t="s">
        <v>27</v>
      </c>
      <c r="E20" s="5"/>
      <c r="F20" s="5">
        <v>11.3</v>
      </c>
      <c r="G20" s="5"/>
      <c r="H20" s="2"/>
    </row>
    <row r="21" spans="1:11" x14ac:dyDescent="0.25">
      <c r="A21" s="5">
        <v>15</v>
      </c>
      <c r="B21" s="5" t="s">
        <v>19</v>
      </c>
      <c r="C21" s="5" t="s">
        <v>9</v>
      </c>
      <c r="D21" s="5" t="s">
        <v>27</v>
      </c>
      <c r="E21" s="5"/>
      <c r="F21" s="5">
        <v>84.1</v>
      </c>
      <c r="G21" s="5"/>
      <c r="H21" s="2"/>
    </row>
    <row r="22" spans="1:11" x14ac:dyDescent="0.25">
      <c r="A22" s="5">
        <v>16</v>
      </c>
      <c r="B22" s="5" t="s">
        <v>18</v>
      </c>
      <c r="C22" s="5" t="s">
        <v>9</v>
      </c>
      <c r="D22" s="5" t="s">
        <v>27</v>
      </c>
      <c r="E22" s="5"/>
      <c r="F22" s="5">
        <v>90.8</v>
      </c>
      <c r="G22" s="5"/>
      <c r="H22" s="2"/>
    </row>
    <row r="23" spans="1:11" x14ac:dyDescent="0.25">
      <c r="A23" s="5">
        <v>17</v>
      </c>
      <c r="B23" s="5" t="s">
        <v>20</v>
      </c>
      <c r="C23" s="5" t="s">
        <v>9</v>
      </c>
      <c r="D23" s="5" t="s">
        <v>26</v>
      </c>
      <c r="E23" s="5"/>
      <c r="F23" s="5"/>
      <c r="G23" s="5"/>
      <c r="H23" s="2"/>
    </row>
    <row r="24" spans="1:11" x14ac:dyDescent="0.25">
      <c r="A24" s="5">
        <v>18</v>
      </c>
      <c r="B24" s="5" t="s">
        <v>20</v>
      </c>
      <c r="C24" s="5" t="s">
        <v>9</v>
      </c>
      <c r="D24" s="5" t="s">
        <v>26</v>
      </c>
      <c r="E24" s="5"/>
      <c r="F24" s="5"/>
      <c r="G24" s="5"/>
      <c r="H24" s="2"/>
    </row>
    <row r="25" spans="1:11" x14ac:dyDescent="0.25">
      <c r="A25" s="5">
        <v>19</v>
      </c>
      <c r="B25" s="5" t="s">
        <v>21</v>
      </c>
      <c r="C25" s="5" t="s">
        <v>9</v>
      </c>
      <c r="D25" s="5" t="s">
        <v>26</v>
      </c>
      <c r="E25" s="5"/>
      <c r="F25" s="5"/>
      <c r="G25" s="5"/>
      <c r="H25" s="2"/>
    </row>
    <row r="26" spans="1:11" x14ac:dyDescent="0.25">
      <c r="A26" s="5">
        <v>20</v>
      </c>
      <c r="B26" s="5" t="s">
        <v>22</v>
      </c>
      <c r="C26" s="5" t="s">
        <v>9</v>
      </c>
      <c r="D26" s="5" t="s">
        <v>26</v>
      </c>
      <c r="E26" s="5"/>
      <c r="F26" s="5"/>
      <c r="G26" s="5"/>
      <c r="H26" s="2"/>
    </row>
    <row r="27" spans="1:11" x14ac:dyDescent="0.25">
      <c r="A27" s="5">
        <v>21</v>
      </c>
      <c r="B27" s="5" t="s">
        <v>22</v>
      </c>
      <c r="C27" s="5" t="s">
        <v>9</v>
      </c>
      <c r="D27" s="5" t="s">
        <v>26</v>
      </c>
      <c r="E27" s="5"/>
      <c r="F27" s="5"/>
      <c r="G27" s="5"/>
      <c r="H27" s="2"/>
    </row>
    <row r="28" spans="1:11" x14ac:dyDescent="0.25">
      <c r="A28" s="5">
        <v>22</v>
      </c>
      <c r="B28" s="5" t="s">
        <v>23</v>
      </c>
      <c r="C28" s="5" t="s">
        <v>9</v>
      </c>
      <c r="D28" s="5" t="s">
        <v>26</v>
      </c>
      <c r="E28" s="5"/>
      <c r="F28" s="5"/>
      <c r="G28" s="5"/>
      <c r="H28" s="2"/>
    </row>
    <row r="29" spans="1:11" x14ac:dyDescent="0.25">
      <c r="A29" s="5">
        <v>23</v>
      </c>
      <c r="B29" s="5" t="s">
        <v>24</v>
      </c>
      <c r="C29" s="5" t="s">
        <v>9</v>
      </c>
      <c r="D29" s="5" t="s">
        <v>26</v>
      </c>
      <c r="E29" s="5"/>
      <c r="F29" s="5"/>
      <c r="G29" s="5"/>
      <c r="H29" s="2"/>
    </row>
    <row r="30" spans="1:11" x14ac:dyDescent="0.25">
      <c r="A30" s="5">
        <v>24</v>
      </c>
      <c r="B30" s="5" t="s">
        <v>105</v>
      </c>
      <c r="C30" s="5" t="s">
        <v>9</v>
      </c>
      <c r="D30" s="5" t="s">
        <v>26</v>
      </c>
      <c r="E30" s="5"/>
      <c r="F30" s="5"/>
      <c r="G30" s="5"/>
      <c r="H30" s="2"/>
    </row>
    <row r="31" spans="1:11" x14ac:dyDescent="0.25">
      <c r="A31" s="5"/>
      <c r="B31" s="1" t="s">
        <v>190</v>
      </c>
      <c r="C31" s="5" t="s">
        <v>4</v>
      </c>
      <c r="D31" s="5" t="s">
        <v>5</v>
      </c>
      <c r="E31" s="7">
        <v>45152</v>
      </c>
      <c r="F31" s="5">
        <v>14.82</v>
      </c>
      <c r="G31" s="5"/>
      <c r="H31" s="2"/>
      <c r="I31" s="11"/>
      <c r="J31" s="11">
        <v>2</v>
      </c>
      <c r="K31">
        <f t="shared" ref="K31:K47" si="0">F31*H31</f>
        <v>0</v>
      </c>
    </row>
    <row r="32" spans="1:11" x14ac:dyDescent="0.25">
      <c r="A32" s="5">
        <v>26</v>
      </c>
      <c r="B32" s="1" t="s">
        <v>28</v>
      </c>
      <c r="C32" s="5" t="s">
        <v>4</v>
      </c>
      <c r="D32" s="5" t="s">
        <v>5</v>
      </c>
      <c r="E32" s="7">
        <v>45152</v>
      </c>
      <c r="F32" s="13">
        <v>324.72000000000003</v>
      </c>
      <c r="G32" s="5"/>
      <c r="H32" s="2"/>
      <c r="J32">
        <v>0</v>
      </c>
      <c r="K32">
        <f t="shared" si="0"/>
        <v>0</v>
      </c>
    </row>
    <row r="33" spans="1:11" x14ac:dyDescent="0.25">
      <c r="A33" s="5">
        <v>27</v>
      </c>
      <c r="B33" s="1" t="s">
        <v>29</v>
      </c>
      <c r="C33" s="5" t="s">
        <v>4</v>
      </c>
      <c r="D33" s="5" t="s">
        <v>5</v>
      </c>
      <c r="E33" s="7">
        <v>45152</v>
      </c>
      <c r="F33" s="13">
        <v>454.02</v>
      </c>
      <c r="G33" s="5"/>
      <c r="H33" s="2"/>
      <c r="K33">
        <f t="shared" si="0"/>
        <v>0</v>
      </c>
    </row>
    <row r="34" spans="1:11" x14ac:dyDescent="0.25">
      <c r="A34" s="5"/>
      <c r="B34" s="1" t="s">
        <v>34</v>
      </c>
      <c r="C34" s="5" t="s">
        <v>4</v>
      </c>
      <c r="D34" s="5" t="s">
        <v>5</v>
      </c>
      <c r="E34" s="7" t="s">
        <v>213</v>
      </c>
      <c r="F34" s="13">
        <v>179.16</v>
      </c>
      <c r="G34" s="5"/>
      <c r="H34" s="2"/>
      <c r="K34">
        <f t="shared" si="0"/>
        <v>0</v>
      </c>
    </row>
    <row r="35" spans="1:11" x14ac:dyDescent="0.25">
      <c r="A35" s="5">
        <v>28</v>
      </c>
      <c r="B35" s="1" t="s">
        <v>34</v>
      </c>
      <c r="C35" s="5" t="s">
        <v>4</v>
      </c>
      <c r="D35" s="5" t="s">
        <v>5</v>
      </c>
      <c r="E35" s="7">
        <v>44915</v>
      </c>
      <c r="F35" s="13">
        <v>179.16</v>
      </c>
      <c r="G35" s="5"/>
      <c r="H35" s="2"/>
      <c r="K35">
        <f t="shared" si="0"/>
        <v>0</v>
      </c>
    </row>
    <row r="36" spans="1:11" x14ac:dyDescent="0.25">
      <c r="A36" s="5"/>
      <c r="B36" s="1" t="s">
        <v>35</v>
      </c>
      <c r="C36" s="5" t="s">
        <v>4</v>
      </c>
      <c r="D36" s="5" t="s">
        <v>5</v>
      </c>
      <c r="E36" s="7" t="s">
        <v>213</v>
      </c>
      <c r="F36" s="13">
        <v>246.9</v>
      </c>
      <c r="G36" s="5"/>
      <c r="H36" s="2"/>
      <c r="K36">
        <f t="shared" si="0"/>
        <v>0</v>
      </c>
    </row>
    <row r="37" spans="1:11" x14ac:dyDescent="0.25">
      <c r="A37" s="5">
        <v>29</v>
      </c>
      <c r="B37" s="1" t="s">
        <v>35</v>
      </c>
      <c r="C37" s="5" t="s">
        <v>4</v>
      </c>
      <c r="D37" s="5" t="s">
        <v>5</v>
      </c>
      <c r="E37" s="7">
        <v>44915</v>
      </c>
      <c r="F37" s="13">
        <v>246.9</v>
      </c>
      <c r="G37" s="5"/>
      <c r="H37" s="2"/>
      <c r="K37">
        <f t="shared" si="0"/>
        <v>0</v>
      </c>
    </row>
    <row r="38" spans="1:11" x14ac:dyDescent="0.25">
      <c r="A38" s="5"/>
      <c r="B38" s="1" t="s">
        <v>179</v>
      </c>
      <c r="C38" s="5" t="s">
        <v>4</v>
      </c>
      <c r="D38" s="5" t="s">
        <v>5</v>
      </c>
      <c r="E38" s="7">
        <v>44812</v>
      </c>
      <c r="F38" s="13">
        <v>239.22</v>
      </c>
      <c r="G38" s="5"/>
      <c r="H38" s="2"/>
      <c r="K38">
        <f t="shared" si="0"/>
        <v>0</v>
      </c>
    </row>
    <row r="39" spans="1:11" x14ac:dyDescent="0.25">
      <c r="A39" s="5"/>
      <c r="B39" s="1" t="s">
        <v>179</v>
      </c>
      <c r="C39" s="5" t="s">
        <v>4</v>
      </c>
      <c r="D39" s="5" t="s">
        <v>5</v>
      </c>
      <c r="E39" s="7">
        <v>44812</v>
      </c>
      <c r="F39" s="13">
        <v>308.45999999999998</v>
      </c>
      <c r="G39" s="5"/>
      <c r="H39" s="2"/>
      <c r="K39">
        <f t="shared" si="0"/>
        <v>0</v>
      </c>
    </row>
    <row r="40" spans="1:11" x14ac:dyDescent="0.25">
      <c r="A40" s="5">
        <v>30</v>
      </c>
      <c r="B40" s="1" t="s">
        <v>30</v>
      </c>
      <c r="C40" s="5" t="s">
        <v>4</v>
      </c>
      <c r="D40" s="5" t="s">
        <v>5</v>
      </c>
      <c r="E40" s="7">
        <v>44812</v>
      </c>
      <c r="F40" s="13">
        <v>92.82</v>
      </c>
      <c r="G40" s="5"/>
      <c r="H40" s="2"/>
      <c r="K40">
        <f t="shared" si="0"/>
        <v>0</v>
      </c>
    </row>
    <row r="41" spans="1:11" x14ac:dyDescent="0.25">
      <c r="A41" s="5"/>
      <c r="B41" s="1" t="s">
        <v>30</v>
      </c>
      <c r="C41" s="5" t="s">
        <v>4</v>
      </c>
      <c r="D41" s="5" t="s">
        <v>5</v>
      </c>
      <c r="E41" s="7">
        <v>44915</v>
      </c>
      <c r="F41" s="13">
        <v>117.72</v>
      </c>
      <c r="G41" s="5"/>
      <c r="H41" s="2"/>
      <c r="I41" t="s">
        <v>191</v>
      </c>
      <c r="K41">
        <f t="shared" si="0"/>
        <v>0</v>
      </c>
    </row>
    <row r="42" spans="1:11" x14ac:dyDescent="0.25">
      <c r="A42" s="5">
        <v>31</v>
      </c>
      <c r="B42" s="1" t="s">
        <v>31</v>
      </c>
      <c r="C42" s="5" t="s">
        <v>4</v>
      </c>
      <c r="D42" s="5" t="s">
        <v>5</v>
      </c>
      <c r="E42" s="7">
        <v>44812</v>
      </c>
      <c r="F42" s="13">
        <v>122.7</v>
      </c>
      <c r="G42" s="5"/>
      <c r="H42" s="2"/>
      <c r="K42">
        <f t="shared" si="0"/>
        <v>0</v>
      </c>
    </row>
    <row r="43" spans="1:11" x14ac:dyDescent="0.25">
      <c r="A43" s="5"/>
      <c r="B43" s="1" t="s">
        <v>31</v>
      </c>
      <c r="C43" s="5" t="s">
        <v>4</v>
      </c>
      <c r="D43" s="5" t="s">
        <v>5</v>
      </c>
      <c r="E43" s="7">
        <v>44915</v>
      </c>
      <c r="F43" s="13">
        <v>255.3</v>
      </c>
      <c r="G43" s="5"/>
      <c r="H43" s="2"/>
      <c r="J43">
        <v>0</v>
      </c>
      <c r="K43">
        <f t="shared" si="0"/>
        <v>0</v>
      </c>
    </row>
    <row r="44" spans="1:11" x14ac:dyDescent="0.25">
      <c r="A44" s="5">
        <v>32</v>
      </c>
      <c r="B44" s="1" t="s">
        <v>115</v>
      </c>
      <c r="C44" s="5" t="s">
        <v>4</v>
      </c>
      <c r="D44" s="5" t="s">
        <v>5</v>
      </c>
      <c r="E44" s="7">
        <v>44915</v>
      </c>
      <c r="F44" s="13">
        <v>498.48</v>
      </c>
      <c r="G44" s="5"/>
      <c r="H44" s="2"/>
      <c r="J44">
        <v>0</v>
      </c>
      <c r="K44">
        <f t="shared" si="0"/>
        <v>0</v>
      </c>
    </row>
    <row r="45" spans="1:11" x14ac:dyDescent="0.25">
      <c r="A45" s="5"/>
      <c r="B45" s="1" t="s">
        <v>114</v>
      </c>
      <c r="C45" s="5" t="s">
        <v>4</v>
      </c>
      <c r="D45" s="5" t="s">
        <v>5</v>
      </c>
      <c r="E45" s="7">
        <v>44812</v>
      </c>
      <c r="F45" s="13">
        <v>83.58</v>
      </c>
      <c r="G45" s="5"/>
      <c r="H45" s="2"/>
      <c r="K45">
        <f t="shared" si="0"/>
        <v>0</v>
      </c>
    </row>
    <row r="46" spans="1:11" x14ac:dyDescent="0.25">
      <c r="A46" s="5">
        <v>33</v>
      </c>
      <c r="B46" s="1" t="s">
        <v>114</v>
      </c>
      <c r="C46" s="5" t="s">
        <v>4</v>
      </c>
      <c r="D46" s="5" t="s">
        <v>5</v>
      </c>
      <c r="E46" s="7">
        <v>44915</v>
      </c>
      <c r="F46" s="16">
        <v>93.19</v>
      </c>
      <c r="G46" s="5"/>
      <c r="H46" s="2"/>
      <c r="K46">
        <f t="shared" si="0"/>
        <v>0</v>
      </c>
    </row>
    <row r="47" spans="1:11" x14ac:dyDescent="0.25">
      <c r="A47" s="5">
        <v>34</v>
      </c>
      <c r="B47" s="1" t="s">
        <v>116</v>
      </c>
      <c r="C47" s="5" t="s">
        <v>4</v>
      </c>
      <c r="D47" s="5" t="s">
        <v>5</v>
      </c>
      <c r="E47" s="7">
        <v>44915</v>
      </c>
      <c r="F47" s="5">
        <v>102.54</v>
      </c>
      <c r="G47" s="5"/>
      <c r="H47" s="2"/>
      <c r="K47">
        <f t="shared" si="0"/>
        <v>0</v>
      </c>
    </row>
    <row r="48" spans="1:11" x14ac:dyDescent="0.25">
      <c r="A48" s="5"/>
      <c r="B48" s="1" t="s">
        <v>116</v>
      </c>
      <c r="C48" s="5"/>
      <c r="D48" s="5"/>
      <c r="E48" s="7">
        <v>44812</v>
      </c>
      <c r="F48" s="5">
        <v>91.26</v>
      </c>
      <c r="G48" s="5"/>
      <c r="H48" s="2"/>
    </row>
    <row r="49" spans="1:11" x14ac:dyDescent="0.25">
      <c r="A49" s="5">
        <v>35</v>
      </c>
      <c r="B49" s="1" t="s">
        <v>117</v>
      </c>
      <c r="C49" s="5" t="s">
        <v>4</v>
      </c>
      <c r="D49" s="5" t="s">
        <v>5</v>
      </c>
      <c r="E49" s="15">
        <v>44830</v>
      </c>
      <c r="F49" s="5">
        <v>4172.76</v>
      </c>
      <c r="G49" s="5"/>
      <c r="H49" s="2"/>
      <c r="K49">
        <f t="shared" ref="K49:K99" si="1">F49*H49</f>
        <v>0</v>
      </c>
    </row>
    <row r="50" spans="1:11" x14ac:dyDescent="0.25">
      <c r="A50" s="5"/>
      <c r="B50" s="1" t="s">
        <v>192</v>
      </c>
      <c r="C50" s="5" t="s">
        <v>4</v>
      </c>
      <c r="D50" s="5" t="s">
        <v>5</v>
      </c>
      <c r="E50" s="7">
        <v>44915</v>
      </c>
      <c r="F50" s="14">
        <v>4324.08</v>
      </c>
      <c r="G50" s="5"/>
      <c r="H50" s="2"/>
      <c r="K50">
        <f t="shared" si="1"/>
        <v>0</v>
      </c>
    </row>
    <row r="51" spans="1:11" x14ac:dyDescent="0.25">
      <c r="A51" s="5"/>
      <c r="B51" s="1" t="s">
        <v>192</v>
      </c>
      <c r="C51" s="5" t="s">
        <v>4</v>
      </c>
      <c r="D51" s="5" t="s">
        <v>5</v>
      </c>
      <c r="E51" s="7">
        <v>44812</v>
      </c>
      <c r="F51" s="5">
        <v>4187.6400000000003</v>
      </c>
      <c r="G51" s="5"/>
      <c r="H51" s="2"/>
      <c r="K51">
        <f t="shared" si="1"/>
        <v>0</v>
      </c>
    </row>
    <row r="52" spans="1:11" x14ac:dyDescent="0.25">
      <c r="A52" s="5"/>
      <c r="B52" s="1" t="s">
        <v>192</v>
      </c>
      <c r="C52" s="5" t="s">
        <v>4</v>
      </c>
      <c r="D52" s="5" t="s">
        <v>5</v>
      </c>
      <c r="E52" s="7">
        <v>44915</v>
      </c>
      <c r="F52" s="14">
        <v>4326.84</v>
      </c>
      <c r="G52" s="5"/>
      <c r="H52" s="2"/>
      <c r="K52">
        <f t="shared" si="1"/>
        <v>0</v>
      </c>
    </row>
    <row r="53" spans="1:11" x14ac:dyDescent="0.25">
      <c r="A53" s="5">
        <v>36</v>
      </c>
      <c r="B53" s="1" t="s">
        <v>118</v>
      </c>
      <c r="C53" s="5" t="s">
        <v>4</v>
      </c>
      <c r="D53" s="5" t="s">
        <v>5</v>
      </c>
      <c r="E53" s="7" t="s">
        <v>213</v>
      </c>
      <c r="F53" s="5">
        <v>78.36</v>
      </c>
      <c r="G53" s="5"/>
      <c r="H53" s="2"/>
      <c r="I53" t="s">
        <v>193</v>
      </c>
      <c r="K53">
        <f t="shared" si="1"/>
        <v>0</v>
      </c>
    </row>
    <row r="54" spans="1:11" x14ac:dyDescent="0.25">
      <c r="A54" s="5"/>
      <c r="B54" s="1" t="s">
        <v>118</v>
      </c>
      <c r="C54" s="5" t="s">
        <v>4</v>
      </c>
      <c r="D54" s="5" t="s">
        <v>5</v>
      </c>
      <c r="E54" s="7">
        <v>44915</v>
      </c>
      <c r="F54" s="5">
        <v>78.36</v>
      </c>
      <c r="G54" s="5"/>
      <c r="H54" s="2"/>
      <c r="J54">
        <v>0</v>
      </c>
      <c r="K54">
        <f t="shared" si="1"/>
        <v>0</v>
      </c>
    </row>
    <row r="55" spans="1:11" x14ac:dyDescent="0.25">
      <c r="A55" s="5">
        <v>37</v>
      </c>
      <c r="B55" s="1" t="s">
        <v>119</v>
      </c>
      <c r="C55" s="5" t="s">
        <v>4</v>
      </c>
      <c r="D55" s="5" t="s">
        <v>5</v>
      </c>
      <c r="E55" s="7" t="s">
        <v>213</v>
      </c>
      <c r="F55" s="5">
        <v>13.92</v>
      </c>
      <c r="G55" s="5"/>
      <c r="H55" s="2"/>
      <c r="K55">
        <f t="shared" si="1"/>
        <v>0</v>
      </c>
    </row>
    <row r="56" spans="1:11" x14ac:dyDescent="0.25">
      <c r="A56" s="5"/>
      <c r="B56" s="1" t="s">
        <v>119</v>
      </c>
      <c r="C56" s="5" t="s">
        <v>4</v>
      </c>
      <c r="D56" s="5" t="s">
        <v>5</v>
      </c>
      <c r="E56" s="7">
        <v>44915</v>
      </c>
      <c r="F56" s="5">
        <v>13.92</v>
      </c>
      <c r="G56" s="5"/>
      <c r="H56" s="2"/>
      <c r="K56">
        <f t="shared" si="1"/>
        <v>0</v>
      </c>
    </row>
    <row r="57" spans="1:11" x14ac:dyDescent="0.25">
      <c r="A57" s="5">
        <v>38</v>
      </c>
      <c r="B57" s="1" t="s">
        <v>120</v>
      </c>
      <c r="C57" s="5" t="s">
        <v>4</v>
      </c>
      <c r="D57" s="5" t="s">
        <v>5</v>
      </c>
      <c r="E57" s="7" t="s">
        <v>213</v>
      </c>
      <c r="F57" s="13">
        <v>69</v>
      </c>
      <c r="G57" s="5"/>
      <c r="H57" s="2"/>
      <c r="K57">
        <f t="shared" si="1"/>
        <v>0</v>
      </c>
    </row>
    <row r="58" spans="1:11" x14ac:dyDescent="0.25">
      <c r="A58" s="5"/>
      <c r="B58" s="1" t="s">
        <v>120</v>
      </c>
      <c r="C58" s="5" t="s">
        <v>4</v>
      </c>
      <c r="D58" s="5" t="s">
        <v>5</v>
      </c>
      <c r="E58" s="7">
        <v>44915</v>
      </c>
      <c r="F58" s="13">
        <v>69</v>
      </c>
      <c r="G58" s="5"/>
      <c r="H58" s="2"/>
      <c r="K58">
        <f t="shared" si="1"/>
        <v>0</v>
      </c>
    </row>
    <row r="59" spans="1:11" x14ac:dyDescent="0.25">
      <c r="A59" s="5">
        <v>39</v>
      </c>
      <c r="B59" s="1" t="s">
        <v>121</v>
      </c>
      <c r="C59" s="5" t="s">
        <v>4</v>
      </c>
      <c r="D59" s="5" t="s">
        <v>5</v>
      </c>
      <c r="E59" s="7" t="s">
        <v>213</v>
      </c>
      <c r="F59" s="13">
        <v>69.42</v>
      </c>
      <c r="G59" s="5"/>
      <c r="H59" s="2"/>
      <c r="K59">
        <f t="shared" si="1"/>
        <v>0</v>
      </c>
    </row>
    <row r="60" spans="1:11" x14ac:dyDescent="0.25">
      <c r="A60" s="5"/>
      <c r="B60" s="1" t="s">
        <v>121</v>
      </c>
      <c r="C60" s="5" t="s">
        <v>4</v>
      </c>
      <c r="D60" s="5" t="s">
        <v>5</v>
      </c>
      <c r="E60" s="7">
        <v>44915</v>
      </c>
      <c r="F60" s="13">
        <v>69.42</v>
      </c>
      <c r="G60" s="5"/>
      <c r="H60" s="2"/>
      <c r="K60">
        <f t="shared" si="1"/>
        <v>0</v>
      </c>
    </row>
    <row r="61" spans="1:11" x14ac:dyDescent="0.25">
      <c r="A61" s="5">
        <v>40</v>
      </c>
      <c r="B61" s="1" t="s">
        <v>122</v>
      </c>
      <c r="C61" s="5" t="s">
        <v>4</v>
      </c>
      <c r="D61" s="5" t="s">
        <v>5</v>
      </c>
      <c r="E61" s="7">
        <v>44915</v>
      </c>
      <c r="F61" s="13">
        <v>10.8</v>
      </c>
      <c r="G61" s="5"/>
      <c r="H61" s="2"/>
      <c r="K61">
        <f t="shared" si="1"/>
        <v>0</v>
      </c>
    </row>
    <row r="62" spans="1:11" x14ac:dyDescent="0.25">
      <c r="A62" s="5">
        <v>41</v>
      </c>
      <c r="B62" s="1" t="s">
        <v>123</v>
      </c>
      <c r="C62" s="5" t="s">
        <v>4</v>
      </c>
      <c r="D62" s="5" t="s">
        <v>5</v>
      </c>
      <c r="E62" s="7">
        <v>44915</v>
      </c>
      <c r="F62" s="13">
        <v>222.9</v>
      </c>
      <c r="G62" s="5"/>
      <c r="H62" s="2"/>
      <c r="J62">
        <v>0</v>
      </c>
      <c r="K62">
        <f t="shared" si="1"/>
        <v>0</v>
      </c>
    </row>
    <row r="63" spans="1:11" x14ac:dyDescent="0.25">
      <c r="A63" s="5">
        <v>42</v>
      </c>
      <c r="B63" s="1" t="s">
        <v>124</v>
      </c>
      <c r="C63" s="5" t="s">
        <v>4</v>
      </c>
      <c r="D63" s="5" t="s">
        <v>5</v>
      </c>
      <c r="E63" s="7">
        <v>44915</v>
      </c>
      <c r="F63" s="13">
        <v>59.88</v>
      </c>
      <c r="G63" s="5"/>
      <c r="H63" s="2"/>
      <c r="K63">
        <f t="shared" si="1"/>
        <v>0</v>
      </c>
    </row>
    <row r="64" spans="1:11" x14ac:dyDescent="0.25">
      <c r="A64" s="5">
        <v>43</v>
      </c>
      <c r="B64" s="1" t="s">
        <v>125</v>
      </c>
      <c r="C64" s="5" t="s">
        <v>4</v>
      </c>
      <c r="D64" s="5" t="s">
        <v>5</v>
      </c>
      <c r="E64" s="7">
        <v>44915</v>
      </c>
      <c r="F64" s="13">
        <v>263.88</v>
      </c>
      <c r="G64" s="5"/>
      <c r="H64" s="2"/>
      <c r="J64">
        <v>0</v>
      </c>
      <c r="K64">
        <f t="shared" si="1"/>
        <v>0</v>
      </c>
    </row>
    <row r="65" spans="1:11" x14ac:dyDescent="0.25">
      <c r="A65" s="5">
        <v>44</v>
      </c>
      <c r="B65" s="1" t="s">
        <v>126</v>
      </c>
      <c r="C65" s="5" t="s">
        <v>4</v>
      </c>
      <c r="D65" s="5" t="s">
        <v>5</v>
      </c>
      <c r="E65" s="7">
        <v>44915</v>
      </c>
      <c r="F65" s="13">
        <v>143.76</v>
      </c>
      <c r="G65" s="5"/>
      <c r="H65" s="2"/>
      <c r="K65">
        <f t="shared" si="1"/>
        <v>0</v>
      </c>
    </row>
    <row r="66" spans="1:11" x14ac:dyDescent="0.25">
      <c r="A66" s="5">
        <v>45</v>
      </c>
      <c r="B66" s="1" t="s">
        <v>127</v>
      </c>
      <c r="C66" s="5" t="s">
        <v>4</v>
      </c>
      <c r="D66" s="5" t="s">
        <v>5</v>
      </c>
      <c r="E66" s="7">
        <v>44915</v>
      </c>
      <c r="F66" s="13">
        <v>175.56</v>
      </c>
      <c r="G66" s="5"/>
      <c r="H66" s="2"/>
      <c r="J66">
        <v>0</v>
      </c>
      <c r="K66">
        <f t="shared" si="1"/>
        <v>0</v>
      </c>
    </row>
    <row r="67" spans="1:11" x14ac:dyDescent="0.25">
      <c r="A67" s="5">
        <v>46</v>
      </c>
      <c r="B67" s="1" t="s">
        <v>128</v>
      </c>
      <c r="C67" s="5" t="s">
        <v>4</v>
      </c>
      <c r="D67" s="5" t="s">
        <v>5</v>
      </c>
      <c r="E67" s="7">
        <v>44915</v>
      </c>
      <c r="F67" s="13">
        <v>31.68</v>
      </c>
      <c r="G67" s="5"/>
      <c r="H67" s="2"/>
      <c r="K67">
        <f t="shared" si="1"/>
        <v>0</v>
      </c>
    </row>
    <row r="68" spans="1:11" x14ac:dyDescent="0.25">
      <c r="A68" s="5">
        <v>47</v>
      </c>
      <c r="B68" s="1" t="s">
        <v>129</v>
      </c>
      <c r="C68" s="5" t="s">
        <v>4</v>
      </c>
      <c r="D68" s="5" t="s">
        <v>5</v>
      </c>
      <c r="E68" s="7">
        <v>44915</v>
      </c>
      <c r="F68" s="13">
        <v>32.159999999999997</v>
      </c>
      <c r="G68" s="5"/>
      <c r="H68" s="2"/>
      <c r="K68">
        <f t="shared" si="1"/>
        <v>0</v>
      </c>
    </row>
    <row r="69" spans="1:11" x14ac:dyDescent="0.25">
      <c r="A69" s="5"/>
      <c r="B69" s="1" t="s">
        <v>223</v>
      </c>
      <c r="C69" s="5"/>
      <c r="D69" s="5"/>
      <c r="E69" s="7"/>
      <c r="F69" s="13"/>
      <c r="G69" s="5"/>
      <c r="H69" s="2"/>
      <c r="I69" t="s">
        <v>224</v>
      </c>
    </row>
    <row r="70" spans="1:11" x14ac:dyDescent="0.25">
      <c r="A70" s="5">
        <v>48</v>
      </c>
      <c r="B70" s="1" t="s">
        <v>130</v>
      </c>
      <c r="C70" s="5" t="s">
        <v>4</v>
      </c>
      <c r="D70" s="5" t="s">
        <v>5</v>
      </c>
      <c r="E70" s="7" t="s">
        <v>213</v>
      </c>
      <c r="F70" s="13">
        <v>72.78</v>
      </c>
      <c r="G70" s="5"/>
      <c r="H70" s="2"/>
      <c r="K70">
        <f t="shared" si="1"/>
        <v>0</v>
      </c>
    </row>
    <row r="71" spans="1:11" x14ac:dyDescent="0.25">
      <c r="A71" s="5">
        <v>48</v>
      </c>
      <c r="B71" s="1" t="s">
        <v>130</v>
      </c>
      <c r="C71" s="5" t="s">
        <v>4</v>
      </c>
      <c r="D71" s="5" t="s">
        <v>5</v>
      </c>
      <c r="E71" s="7">
        <v>44915</v>
      </c>
      <c r="F71" s="13">
        <v>72.78</v>
      </c>
      <c r="G71" s="5"/>
      <c r="H71" s="2"/>
      <c r="J71">
        <v>0</v>
      </c>
      <c r="K71">
        <f t="shared" si="1"/>
        <v>0</v>
      </c>
    </row>
    <row r="72" spans="1:11" x14ac:dyDescent="0.25">
      <c r="A72" s="5">
        <v>49</v>
      </c>
      <c r="B72" s="1" t="s">
        <v>131</v>
      </c>
      <c r="C72" s="5" t="s">
        <v>4</v>
      </c>
      <c r="D72" s="5" t="s">
        <v>5</v>
      </c>
      <c r="E72" s="7">
        <v>44915</v>
      </c>
      <c r="F72" s="13">
        <v>24.18</v>
      </c>
      <c r="G72" s="5"/>
      <c r="H72" s="2"/>
      <c r="J72">
        <v>0</v>
      </c>
      <c r="K72">
        <f t="shared" si="1"/>
        <v>0</v>
      </c>
    </row>
    <row r="73" spans="1:11" x14ac:dyDescent="0.25">
      <c r="A73" s="5"/>
      <c r="B73" s="1" t="s">
        <v>132</v>
      </c>
      <c r="C73" s="5" t="s">
        <v>4</v>
      </c>
      <c r="D73" s="5" t="s">
        <v>5</v>
      </c>
      <c r="E73" s="7">
        <v>44812</v>
      </c>
      <c r="F73" s="13">
        <v>118.68</v>
      </c>
      <c r="G73" s="5"/>
      <c r="H73" s="2"/>
      <c r="K73">
        <f t="shared" si="1"/>
        <v>0</v>
      </c>
    </row>
    <row r="74" spans="1:11" x14ac:dyDescent="0.25">
      <c r="A74" s="5">
        <v>50</v>
      </c>
      <c r="B74" s="1" t="s">
        <v>132</v>
      </c>
      <c r="C74" s="5" t="s">
        <v>4</v>
      </c>
      <c r="D74" s="5" t="s">
        <v>5</v>
      </c>
      <c r="E74" s="7">
        <v>44915</v>
      </c>
      <c r="F74" s="13">
        <v>127.8</v>
      </c>
      <c r="G74" s="5"/>
      <c r="J74">
        <v>0</v>
      </c>
      <c r="K74">
        <f t="shared" si="1"/>
        <v>0</v>
      </c>
    </row>
    <row r="75" spans="1:11" x14ac:dyDescent="0.25">
      <c r="A75" s="5">
        <v>51</v>
      </c>
      <c r="B75" s="1" t="s">
        <v>133</v>
      </c>
      <c r="C75" s="5" t="s">
        <v>4</v>
      </c>
      <c r="D75" s="5" t="s">
        <v>5</v>
      </c>
      <c r="E75" s="7">
        <v>44915</v>
      </c>
      <c r="F75" s="13">
        <v>99.18</v>
      </c>
      <c r="G75" s="5"/>
      <c r="H75" s="2"/>
      <c r="J75">
        <v>0</v>
      </c>
      <c r="K75">
        <f t="shared" si="1"/>
        <v>0</v>
      </c>
    </row>
    <row r="76" spans="1:11" x14ac:dyDescent="0.25">
      <c r="A76" s="5">
        <v>52</v>
      </c>
      <c r="B76" s="1" t="s">
        <v>134</v>
      </c>
      <c r="C76" s="5" t="s">
        <v>4</v>
      </c>
      <c r="D76" s="5" t="s">
        <v>5</v>
      </c>
      <c r="E76" s="7" t="s">
        <v>213</v>
      </c>
      <c r="F76" s="13">
        <v>99.54</v>
      </c>
      <c r="G76" s="5"/>
      <c r="H76" s="2"/>
      <c r="K76">
        <f t="shared" si="1"/>
        <v>0</v>
      </c>
    </row>
    <row r="77" spans="1:11" x14ac:dyDescent="0.25">
      <c r="A77" s="5"/>
      <c r="B77" s="1" t="s">
        <v>134</v>
      </c>
      <c r="C77" s="5" t="s">
        <v>4</v>
      </c>
      <c r="D77" s="5" t="s">
        <v>5</v>
      </c>
      <c r="E77" s="7">
        <v>44915</v>
      </c>
      <c r="F77" s="13">
        <v>99.54</v>
      </c>
      <c r="G77" s="5"/>
      <c r="H77" s="2"/>
      <c r="J77">
        <v>0</v>
      </c>
      <c r="K77">
        <f t="shared" si="1"/>
        <v>0</v>
      </c>
    </row>
    <row r="78" spans="1:11" x14ac:dyDescent="0.25">
      <c r="A78" s="5">
        <v>53</v>
      </c>
      <c r="B78" s="1" t="s">
        <v>32</v>
      </c>
      <c r="C78" s="5" t="s">
        <v>4</v>
      </c>
      <c r="D78" s="5" t="s">
        <v>5</v>
      </c>
      <c r="E78" s="7" t="s">
        <v>213</v>
      </c>
      <c r="F78" s="13">
        <v>106.32</v>
      </c>
      <c r="G78" s="5"/>
      <c r="H78" s="2"/>
      <c r="K78">
        <f t="shared" si="1"/>
        <v>0</v>
      </c>
    </row>
    <row r="79" spans="1:11" x14ac:dyDescent="0.25">
      <c r="A79" s="5"/>
      <c r="B79" s="1" t="s">
        <v>32</v>
      </c>
      <c r="C79" s="5" t="s">
        <v>4</v>
      </c>
      <c r="D79" s="5" t="s">
        <v>5</v>
      </c>
      <c r="E79" s="7">
        <v>44915</v>
      </c>
      <c r="F79" s="13">
        <v>106.32</v>
      </c>
      <c r="G79" s="5"/>
      <c r="H79" s="2"/>
      <c r="J79">
        <v>0</v>
      </c>
      <c r="K79">
        <f t="shared" si="1"/>
        <v>0</v>
      </c>
    </row>
    <row r="80" spans="1:11" x14ac:dyDescent="0.25">
      <c r="A80" s="5">
        <v>54</v>
      </c>
      <c r="B80" s="1" t="s">
        <v>135</v>
      </c>
      <c r="C80" s="5" t="s">
        <v>4</v>
      </c>
      <c r="D80" s="5" t="s">
        <v>5</v>
      </c>
      <c r="E80" s="7" t="s">
        <v>213</v>
      </c>
      <c r="F80" s="13">
        <v>119.1</v>
      </c>
      <c r="G80" s="5"/>
      <c r="H80" s="2"/>
      <c r="K80">
        <f t="shared" si="1"/>
        <v>0</v>
      </c>
    </row>
    <row r="81" spans="1:11" x14ac:dyDescent="0.25">
      <c r="A81" s="5"/>
      <c r="B81" s="1" t="s">
        <v>135</v>
      </c>
      <c r="C81" s="5" t="s">
        <v>4</v>
      </c>
      <c r="D81" s="5" t="s">
        <v>5</v>
      </c>
      <c r="E81" s="7">
        <v>44915</v>
      </c>
      <c r="F81" s="13">
        <v>119.1</v>
      </c>
      <c r="G81" s="5"/>
      <c r="H81" s="2"/>
      <c r="J81">
        <v>0</v>
      </c>
      <c r="K81">
        <f t="shared" si="1"/>
        <v>0</v>
      </c>
    </row>
    <row r="82" spans="1:11" x14ac:dyDescent="0.25">
      <c r="A82" s="5">
        <v>55</v>
      </c>
      <c r="B82" s="1" t="s">
        <v>136</v>
      </c>
      <c r="C82" s="5" t="s">
        <v>4</v>
      </c>
      <c r="D82" s="5" t="s">
        <v>5</v>
      </c>
      <c r="E82" s="7">
        <v>44915</v>
      </c>
      <c r="F82" s="13">
        <v>155.69999999999999</v>
      </c>
      <c r="G82" s="5"/>
      <c r="H82" s="2"/>
      <c r="I82" t="s">
        <v>194</v>
      </c>
      <c r="K82">
        <f t="shared" si="1"/>
        <v>0</v>
      </c>
    </row>
    <row r="83" spans="1:11" x14ac:dyDescent="0.25">
      <c r="A83" s="5">
        <v>56</v>
      </c>
      <c r="B83" s="1" t="s">
        <v>137</v>
      </c>
      <c r="C83" s="5" t="s">
        <v>4</v>
      </c>
      <c r="D83" s="5" t="s">
        <v>5</v>
      </c>
      <c r="E83" s="7">
        <v>44915</v>
      </c>
      <c r="F83" s="13">
        <v>113.04</v>
      </c>
      <c r="G83" s="5"/>
      <c r="H83" s="2"/>
      <c r="K83">
        <f t="shared" si="1"/>
        <v>0</v>
      </c>
    </row>
    <row r="84" spans="1:11" x14ac:dyDescent="0.25">
      <c r="A84" s="5"/>
      <c r="B84" s="1" t="s">
        <v>137</v>
      </c>
      <c r="C84" s="5" t="s">
        <v>4</v>
      </c>
      <c r="D84" s="5" t="s">
        <v>5</v>
      </c>
      <c r="E84" s="7">
        <v>44915</v>
      </c>
      <c r="F84" s="13">
        <v>113.04</v>
      </c>
      <c r="G84" s="5"/>
      <c r="H84" s="2"/>
      <c r="J84">
        <v>0</v>
      </c>
      <c r="K84">
        <f t="shared" si="1"/>
        <v>0</v>
      </c>
    </row>
    <row r="85" spans="1:11" x14ac:dyDescent="0.25">
      <c r="A85" s="5">
        <v>57</v>
      </c>
      <c r="B85" s="1" t="s">
        <v>138</v>
      </c>
      <c r="C85" s="5" t="s">
        <v>4</v>
      </c>
      <c r="D85" s="5" t="s">
        <v>5</v>
      </c>
      <c r="E85" s="7">
        <v>44915</v>
      </c>
      <c r="F85" s="13">
        <v>23.94</v>
      </c>
      <c r="G85" s="5"/>
      <c r="H85" s="2"/>
      <c r="K85">
        <f t="shared" si="1"/>
        <v>0</v>
      </c>
    </row>
    <row r="86" spans="1:11" x14ac:dyDescent="0.25">
      <c r="A86" s="5"/>
      <c r="B86" s="1" t="s">
        <v>138</v>
      </c>
      <c r="C86" s="5" t="s">
        <v>4</v>
      </c>
      <c r="D86" s="5" t="s">
        <v>5</v>
      </c>
      <c r="E86" s="7">
        <v>44915</v>
      </c>
      <c r="F86" s="13">
        <v>23.94</v>
      </c>
      <c r="G86" s="5"/>
      <c r="H86" s="2"/>
      <c r="K86">
        <f t="shared" si="1"/>
        <v>0</v>
      </c>
    </row>
    <row r="87" spans="1:11" x14ac:dyDescent="0.25">
      <c r="A87" s="5"/>
      <c r="B87" s="1" t="s">
        <v>139</v>
      </c>
      <c r="C87" s="5" t="s">
        <v>4</v>
      </c>
      <c r="D87" s="5" t="s">
        <v>5</v>
      </c>
      <c r="E87" s="7" t="s">
        <v>216</v>
      </c>
      <c r="F87" s="13">
        <v>35.22</v>
      </c>
      <c r="G87" s="5"/>
      <c r="H87" s="2"/>
      <c r="K87">
        <f t="shared" si="1"/>
        <v>0</v>
      </c>
    </row>
    <row r="88" spans="1:11" x14ac:dyDescent="0.25">
      <c r="A88" s="5"/>
      <c r="B88" s="1" t="s">
        <v>140</v>
      </c>
      <c r="C88" s="5" t="s">
        <v>4</v>
      </c>
      <c r="D88" s="5" t="s">
        <v>5</v>
      </c>
      <c r="E88" s="7" t="s">
        <v>213</v>
      </c>
      <c r="F88" s="13">
        <v>43.32</v>
      </c>
      <c r="G88" s="5"/>
      <c r="H88" s="2"/>
      <c r="K88">
        <f t="shared" si="1"/>
        <v>0</v>
      </c>
    </row>
    <row r="89" spans="1:11" x14ac:dyDescent="0.25">
      <c r="A89" s="5">
        <v>58</v>
      </c>
      <c r="B89" s="1" t="s">
        <v>139</v>
      </c>
      <c r="C89" s="5" t="s">
        <v>4</v>
      </c>
      <c r="D89" s="5" t="s">
        <v>5</v>
      </c>
      <c r="E89" s="7">
        <v>44915</v>
      </c>
      <c r="F89" s="13">
        <v>35.22</v>
      </c>
      <c r="G89" s="5"/>
      <c r="H89" s="2"/>
      <c r="K89">
        <f t="shared" si="1"/>
        <v>0</v>
      </c>
    </row>
    <row r="90" spans="1:11" x14ac:dyDescent="0.25">
      <c r="A90" s="5">
        <v>59</v>
      </c>
      <c r="B90" s="1" t="s">
        <v>140</v>
      </c>
      <c r="C90" s="5" t="s">
        <v>4</v>
      </c>
      <c r="D90" s="5" t="s">
        <v>5</v>
      </c>
      <c r="E90" s="7">
        <v>44915</v>
      </c>
      <c r="F90" s="13">
        <v>43.32</v>
      </c>
      <c r="G90" s="5"/>
      <c r="H90" s="2"/>
      <c r="K90">
        <f t="shared" si="1"/>
        <v>0</v>
      </c>
    </row>
    <row r="91" spans="1:11" x14ac:dyDescent="0.25">
      <c r="A91" s="5">
        <v>60</v>
      </c>
      <c r="B91" s="1" t="s">
        <v>141</v>
      </c>
      <c r="C91" s="5" t="s">
        <v>4</v>
      </c>
      <c r="D91" s="5" t="s">
        <v>5</v>
      </c>
      <c r="E91" s="7">
        <v>44915</v>
      </c>
      <c r="F91" s="13">
        <v>220.2</v>
      </c>
      <c r="G91" s="5"/>
      <c r="H91" s="2"/>
      <c r="K91">
        <f t="shared" si="1"/>
        <v>0</v>
      </c>
    </row>
    <row r="92" spans="1:11" x14ac:dyDescent="0.25">
      <c r="A92" s="5">
        <v>61</v>
      </c>
      <c r="B92" s="1" t="s">
        <v>142</v>
      </c>
      <c r="C92" s="5" t="s">
        <v>4</v>
      </c>
      <c r="D92" s="5" t="s">
        <v>5</v>
      </c>
      <c r="E92" s="7" t="s">
        <v>213</v>
      </c>
      <c r="F92" s="13">
        <v>270.66000000000003</v>
      </c>
      <c r="G92" s="5"/>
      <c r="H92" s="2"/>
      <c r="K92">
        <f t="shared" si="1"/>
        <v>0</v>
      </c>
    </row>
    <row r="93" spans="1:11" x14ac:dyDescent="0.25">
      <c r="A93" s="5"/>
      <c r="B93" s="1" t="s">
        <v>142</v>
      </c>
      <c r="C93" s="5" t="s">
        <v>4</v>
      </c>
      <c r="D93" s="5" t="s">
        <v>5</v>
      </c>
      <c r="E93" s="7">
        <v>44915</v>
      </c>
      <c r="F93" s="13">
        <v>270.66000000000003</v>
      </c>
      <c r="G93" s="5"/>
      <c r="H93" s="2"/>
      <c r="J93">
        <v>0</v>
      </c>
      <c r="K93">
        <f t="shared" si="1"/>
        <v>0</v>
      </c>
    </row>
    <row r="94" spans="1:11" x14ac:dyDescent="0.25">
      <c r="A94" s="5">
        <v>62</v>
      </c>
      <c r="B94" s="1" t="s">
        <v>33</v>
      </c>
      <c r="C94" s="5" t="s">
        <v>4</v>
      </c>
      <c r="D94" s="5" t="s">
        <v>5</v>
      </c>
      <c r="E94" s="7" t="s">
        <v>213</v>
      </c>
      <c r="F94" s="13">
        <v>660.24</v>
      </c>
      <c r="G94" s="5"/>
      <c r="H94" s="2"/>
      <c r="K94">
        <f t="shared" si="1"/>
        <v>0</v>
      </c>
    </row>
    <row r="95" spans="1:11" x14ac:dyDescent="0.25">
      <c r="A95" s="5"/>
      <c r="B95" s="1" t="s">
        <v>33</v>
      </c>
      <c r="C95" s="5" t="s">
        <v>4</v>
      </c>
      <c r="D95" s="5" t="s">
        <v>5</v>
      </c>
      <c r="E95" s="7">
        <v>44915</v>
      </c>
      <c r="F95" s="13">
        <v>660.24</v>
      </c>
      <c r="G95" s="5"/>
      <c r="H95" s="2"/>
      <c r="K95">
        <f t="shared" si="1"/>
        <v>0</v>
      </c>
    </row>
    <row r="96" spans="1:11" x14ac:dyDescent="0.25">
      <c r="A96" s="5">
        <v>63</v>
      </c>
      <c r="B96" s="1" t="s">
        <v>143</v>
      </c>
      <c r="C96" s="5" t="s">
        <v>4</v>
      </c>
      <c r="D96" s="5" t="s">
        <v>5</v>
      </c>
      <c r="E96" s="7" t="s">
        <v>213</v>
      </c>
      <c r="G96" s="5"/>
      <c r="H96" s="2"/>
      <c r="K96">
        <v>120</v>
      </c>
    </row>
    <row r="97" spans="1:11" x14ac:dyDescent="0.25">
      <c r="A97" s="5"/>
      <c r="B97" s="1" t="s">
        <v>144</v>
      </c>
      <c r="C97" s="5" t="s">
        <v>4</v>
      </c>
      <c r="D97" s="5" t="s">
        <v>5</v>
      </c>
      <c r="E97" s="7">
        <v>44851</v>
      </c>
      <c r="F97" s="16">
        <v>1442.1</v>
      </c>
      <c r="G97" s="5"/>
      <c r="H97" s="2"/>
      <c r="K97">
        <f t="shared" si="1"/>
        <v>0</v>
      </c>
    </row>
    <row r="98" spans="1:11" x14ac:dyDescent="0.25">
      <c r="A98" s="5">
        <v>64</v>
      </c>
      <c r="B98" s="1" t="s">
        <v>144</v>
      </c>
      <c r="C98" s="5" t="s">
        <v>4</v>
      </c>
      <c r="D98" s="5" t="s">
        <v>5</v>
      </c>
      <c r="E98" s="7">
        <v>44915</v>
      </c>
      <c r="F98" s="14">
        <v>1339.68</v>
      </c>
      <c r="G98" s="5"/>
      <c r="H98" s="2"/>
      <c r="K98">
        <f t="shared" si="1"/>
        <v>0</v>
      </c>
    </row>
    <row r="99" spans="1:11" x14ac:dyDescent="0.25">
      <c r="A99" s="5">
        <v>65</v>
      </c>
      <c r="B99" s="5" t="s">
        <v>145</v>
      </c>
      <c r="C99" s="5" t="s">
        <v>42</v>
      </c>
      <c r="D99" s="5" t="s">
        <v>221</v>
      </c>
      <c r="E99" s="5"/>
      <c r="F99" s="5">
        <v>4312</v>
      </c>
      <c r="G99" s="5"/>
      <c r="H99" s="2"/>
      <c r="K99">
        <f t="shared" si="1"/>
        <v>0</v>
      </c>
    </row>
    <row r="100" spans="1:11" x14ac:dyDescent="0.25">
      <c r="A100" s="5"/>
      <c r="B100" s="5" t="s">
        <v>184</v>
      </c>
      <c r="C100" s="5" t="s">
        <v>42</v>
      </c>
      <c r="D100" s="5" t="s">
        <v>221</v>
      </c>
      <c r="E100" s="5"/>
      <c r="F100" s="5">
        <v>4312</v>
      </c>
      <c r="G100" s="5"/>
      <c r="H100" s="2"/>
    </row>
    <row r="101" spans="1:11" x14ac:dyDescent="0.25">
      <c r="A101" s="5">
        <v>66</v>
      </c>
      <c r="B101" s="1" t="s">
        <v>146</v>
      </c>
      <c r="C101" s="5" t="s">
        <v>42</v>
      </c>
      <c r="D101" s="5" t="s">
        <v>221</v>
      </c>
      <c r="E101" s="5"/>
      <c r="F101" s="5">
        <v>3105</v>
      </c>
      <c r="G101" s="5"/>
      <c r="H101" s="2"/>
    </row>
    <row r="102" spans="1:11" x14ac:dyDescent="0.25">
      <c r="A102" s="5">
        <v>67</v>
      </c>
      <c r="B102" s="1" t="s">
        <v>147</v>
      </c>
      <c r="C102" s="5" t="s">
        <v>42</v>
      </c>
      <c r="D102" s="5" t="s">
        <v>221</v>
      </c>
      <c r="E102" s="5"/>
      <c r="F102" s="5">
        <v>2587</v>
      </c>
      <c r="G102" s="5"/>
      <c r="H102" s="2"/>
    </row>
    <row r="103" spans="1:11" x14ac:dyDescent="0.25">
      <c r="A103" s="5">
        <v>68</v>
      </c>
      <c r="B103" s="1" t="s">
        <v>148</v>
      </c>
      <c r="C103" s="5" t="s">
        <v>42</v>
      </c>
      <c r="D103" s="5" t="s">
        <v>221</v>
      </c>
      <c r="E103" s="5"/>
      <c r="F103" s="5"/>
      <c r="G103" s="5"/>
      <c r="H103" s="2"/>
    </row>
    <row r="104" spans="1:11" x14ac:dyDescent="0.25">
      <c r="A104" s="5">
        <v>69</v>
      </c>
      <c r="B104" s="1" t="s">
        <v>149</v>
      </c>
      <c r="C104" s="5" t="s">
        <v>42</v>
      </c>
      <c r="D104" s="5"/>
      <c r="E104" s="5"/>
      <c r="F104" s="5">
        <v>776</v>
      </c>
      <c r="G104" s="5"/>
      <c r="H104" s="2"/>
    </row>
    <row r="105" spans="1:11" x14ac:dyDescent="0.25">
      <c r="A105" s="5">
        <v>70</v>
      </c>
      <c r="B105" s="1" t="s">
        <v>150</v>
      </c>
      <c r="C105" s="5" t="s">
        <v>42</v>
      </c>
      <c r="D105" s="5" t="s">
        <v>221</v>
      </c>
      <c r="E105" s="5"/>
      <c r="F105" s="5">
        <v>776</v>
      </c>
      <c r="G105" s="5"/>
      <c r="H105" s="2"/>
    </row>
    <row r="106" spans="1:11" x14ac:dyDescent="0.25">
      <c r="A106" s="5">
        <v>71</v>
      </c>
      <c r="B106" s="1" t="s">
        <v>151</v>
      </c>
      <c r="C106" s="5" t="s">
        <v>42</v>
      </c>
      <c r="D106" s="5" t="s">
        <v>221</v>
      </c>
      <c r="E106" s="5"/>
      <c r="F106" s="5">
        <v>776</v>
      </c>
      <c r="G106" s="5"/>
      <c r="H106" s="2"/>
    </row>
    <row r="107" spans="1:11" x14ac:dyDescent="0.25">
      <c r="A107" s="5">
        <v>72</v>
      </c>
      <c r="B107" s="1" t="s">
        <v>152</v>
      </c>
      <c r="C107" s="5" t="s">
        <v>42</v>
      </c>
      <c r="D107" s="5" t="s">
        <v>221</v>
      </c>
      <c r="E107" s="5"/>
      <c r="F107" s="5">
        <v>1811</v>
      </c>
      <c r="G107" s="5"/>
      <c r="H107" s="2"/>
    </row>
    <row r="108" spans="1:11" x14ac:dyDescent="0.25">
      <c r="A108" s="5">
        <v>73</v>
      </c>
      <c r="B108" s="1" t="s">
        <v>153</v>
      </c>
      <c r="C108" s="5" t="s">
        <v>42</v>
      </c>
      <c r="D108" s="5" t="s">
        <v>221</v>
      </c>
      <c r="E108" s="5"/>
      <c r="F108" s="5">
        <v>1811</v>
      </c>
      <c r="G108" s="5"/>
      <c r="H108" s="2"/>
    </row>
    <row r="109" spans="1:11" x14ac:dyDescent="0.25">
      <c r="A109" s="5">
        <v>74</v>
      </c>
      <c r="B109" s="1" t="s">
        <v>154</v>
      </c>
      <c r="C109" s="5" t="s">
        <v>42</v>
      </c>
      <c r="D109" s="5" t="s">
        <v>221</v>
      </c>
      <c r="E109" s="5"/>
      <c r="F109" s="5">
        <v>1811</v>
      </c>
      <c r="G109" s="5"/>
      <c r="H109" s="2"/>
    </row>
    <row r="110" spans="1:11" x14ac:dyDescent="0.25">
      <c r="A110" s="5">
        <v>75</v>
      </c>
      <c r="B110" s="1" t="s">
        <v>155</v>
      </c>
      <c r="C110" s="5" t="s">
        <v>42</v>
      </c>
      <c r="D110" s="5" t="s">
        <v>221</v>
      </c>
      <c r="E110" s="5"/>
      <c r="F110" s="5">
        <v>1811</v>
      </c>
      <c r="G110" s="5"/>
      <c r="H110" s="2"/>
    </row>
    <row r="111" spans="1:11" x14ac:dyDescent="0.25">
      <c r="A111" s="5"/>
      <c r="B111" s="1" t="s">
        <v>180</v>
      </c>
      <c r="C111" s="5" t="s">
        <v>42</v>
      </c>
      <c r="D111" s="5"/>
      <c r="E111" s="5"/>
      <c r="F111" s="5"/>
      <c r="G111" s="5"/>
      <c r="H111" s="2"/>
    </row>
    <row r="112" spans="1:11" x14ac:dyDescent="0.25">
      <c r="A112" s="5"/>
      <c r="B112" s="1" t="s">
        <v>181</v>
      </c>
      <c r="C112" s="5" t="s">
        <v>42</v>
      </c>
      <c r="D112" s="5"/>
      <c r="E112" s="5"/>
      <c r="F112" s="5"/>
      <c r="G112" s="5"/>
      <c r="H112" s="2"/>
    </row>
    <row r="113" spans="1:8" x14ac:dyDescent="0.25">
      <c r="A113" s="5"/>
      <c r="B113" s="1" t="s">
        <v>182</v>
      </c>
      <c r="C113" s="5" t="s">
        <v>42</v>
      </c>
      <c r="D113" s="5"/>
      <c r="E113" s="5"/>
      <c r="F113" s="5"/>
      <c r="G113" s="5"/>
      <c r="H113" s="2"/>
    </row>
    <row r="114" spans="1:8" x14ac:dyDescent="0.25">
      <c r="A114" s="5"/>
      <c r="B114" s="1" t="s">
        <v>183</v>
      </c>
      <c r="C114" s="5" t="s">
        <v>42</v>
      </c>
      <c r="D114" s="5"/>
      <c r="E114" s="5"/>
      <c r="F114" s="5"/>
      <c r="G114" s="5"/>
      <c r="H114" s="2"/>
    </row>
    <row r="115" spans="1:8" x14ac:dyDescent="0.25">
      <c r="A115" s="5">
        <v>76</v>
      </c>
      <c r="B115" s="1" t="s">
        <v>195</v>
      </c>
      <c r="C115" s="5" t="s">
        <v>42</v>
      </c>
      <c r="D115" s="5" t="s">
        <v>221</v>
      </c>
      <c r="E115" s="5"/>
      <c r="F115" s="5">
        <v>517</v>
      </c>
      <c r="G115" s="5"/>
      <c r="H115" s="2"/>
    </row>
    <row r="116" spans="1:8" x14ac:dyDescent="0.25">
      <c r="A116" s="5"/>
      <c r="B116" s="1" t="s">
        <v>196</v>
      </c>
      <c r="C116" s="5"/>
      <c r="D116" s="5" t="s">
        <v>221</v>
      </c>
      <c r="E116" s="5"/>
      <c r="F116" s="5">
        <v>517</v>
      </c>
      <c r="G116" s="5"/>
      <c r="H116" s="2"/>
    </row>
    <row r="117" spans="1:8" x14ac:dyDescent="0.25">
      <c r="A117" s="5">
        <v>77</v>
      </c>
      <c r="B117" s="1" t="s">
        <v>157</v>
      </c>
      <c r="C117" s="5" t="s">
        <v>42</v>
      </c>
      <c r="D117" s="5" t="s">
        <v>221</v>
      </c>
      <c r="E117" s="5"/>
      <c r="F117" s="5">
        <v>345</v>
      </c>
      <c r="G117" s="5"/>
      <c r="H117" s="2"/>
    </row>
    <row r="118" spans="1:8" x14ac:dyDescent="0.25">
      <c r="A118" s="5">
        <v>78</v>
      </c>
      <c r="B118" s="1" t="s">
        <v>158</v>
      </c>
      <c r="C118" s="5" t="s">
        <v>42</v>
      </c>
      <c r="D118" s="5" t="s">
        <v>221</v>
      </c>
      <c r="E118" s="5"/>
      <c r="F118" s="5">
        <v>345</v>
      </c>
      <c r="G118" s="5"/>
      <c r="H118" s="2"/>
    </row>
    <row r="119" spans="1:8" x14ac:dyDescent="0.25">
      <c r="A119" s="5">
        <v>79</v>
      </c>
      <c r="B119" s="1" t="s">
        <v>159</v>
      </c>
      <c r="C119" s="5" t="s">
        <v>42</v>
      </c>
      <c r="D119" s="5" t="s">
        <v>221</v>
      </c>
      <c r="E119" s="5"/>
      <c r="F119" s="5">
        <v>258</v>
      </c>
      <c r="G119" s="5"/>
      <c r="H119" s="2"/>
    </row>
    <row r="120" spans="1:8" x14ac:dyDescent="0.25">
      <c r="A120" s="5">
        <v>80</v>
      </c>
      <c r="B120" s="1" t="s">
        <v>40</v>
      </c>
      <c r="C120" s="5" t="s">
        <v>42</v>
      </c>
      <c r="D120" s="5" t="s">
        <v>221</v>
      </c>
      <c r="E120" s="5"/>
      <c r="F120" s="5">
        <v>172</v>
      </c>
      <c r="G120" s="5"/>
      <c r="H120" s="2"/>
    </row>
    <row r="121" spans="1:8" x14ac:dyDescent="0.25">
      <c r="A121" s="5">
        <v>81</v>
      </c>
      <c r="B121" s="1" t="s">
        <v>160</v>
      </c>
      <c r="C121" s="5" t="s">
        <v>42</v>
      </c>
      <c r="D121" s="5" t="s">
        <v>221</v>
      </c>
      <c r="E121" s="5"/>
      <c r="F121" s="5">
        <v>172</v>
      </c>
      <c r="G121" s="5"/>
      <c r="H121" s="2"/>
    </row>
    <row r="122" spans="1:8" x14ac:dyDescent="0.25">
      <c r="A122" s="5">
        <v>82</v>
      </c>
      <c r="B122" s="1" t="s">
        <v>161</v>
      </c>
      <c r="C122" s="5" t="s">
        <v>42</v>
      </c>
      <c r="D122" s="5" t="s">
        <v>221</v>
      </c>
      <c r="E122" s="5"/>
      <c r="F122" s="5">
        <v>517</v>
      </c>
      <c r="G122" s="5"/>
      <c r="H122" s="2"/>
    </row>
    <row r="123" spans="1:8" x14ac:dyDescent="0.25">
      <c r="A123" s="5">
        <v>83</v>
      </c>
      <c r="B123" s="1" t="s">
        <v>162</v>
      </c>
      <c r="C123" s="5" t="s">
        <v>42</v>
      </c>
      <c r="D123" s="5" t="s">
        <v>221</v>
      </c>
      <c r="E123" s="5"/>
      <c r="F123" s="5">
        <v>4312</v>
      </c>
      <c r="G123" s="5"/>
      <c r="H123" s="2"/>
    </row>
    <row r="124" spans="1:8" x14ac:dyDescent="0.25">
      <c r="A124" s="5">
        <v>84</v>
      </c>
      <c r="B124" s="1" t="s">
        <v>163</v>
      </c>
      <c r="C124" s="5" t="s">
        <v>42</v>
      </c>
      <c r="D124" s="5" t="s">
        <v>221</v>
      </c>
      <c r="E124" s="5"/>
      <c r="F124" s="5">
        <v>2070</v>
      </c>
      <c r="G124" s="5"/>
      <c r="H124" s="2"/>
    </row>
    <row r="125" spans="1:8" x14ac:dyDescent="0.25">
      <c r="A125" s="5">
        <v>85</v>
      </c>
      <c r="B125" s="1" t="s">
        <v>164</v>
      </c>
      <c r="C125" s="5" t="s">
        <v>42</v>
      </c>
      <c r="D125" s="5" t="s">
        <v>221</v>
      </c>
      <c r="E125" s="5"/>
      <c r="F125" s="5">
        <v>431</v>
      </c>
      <c r="G125" s="5"/>
      <c r="H125" s="2"/>
    </row>
    <row r="126" spans="1:8" x14ac:dyDescent="0.25">
      <c r="A126" s="5">
        <v>86</v>
      </c>
      <c r="B126" s="1" t="s">
        <v>165</v>
      </c>
      <c r="C126" s="5" t="s">
        <v>43</v>
      </c>
      <c r="D126" s="5" t="s">
        <v>39</v>
      </c>
      <c r="E126" s="5"/>
      <c r="F126" s="5"/>
      <c r="G126" s="5"/>
      <c r="H126" s="2"/>
    </row>
    <row r="127" spans="1:8" x14ac:dyDescent="0.25">
      <c r="A127" s="5">
        <v>87</v>
      </c>
      <c r="B127" s="1" t="s">
        <v>41</v>
      </c>
      <c r="C127" s="5" t="s">
        <v>43</v>
      </c>
      <c r="D127" s="5" t="s">
        <v>39</v>
      </c>
      <c r="E127" s="5"/>
      <c r="F127" s="5"/>
      <c r="G127" s="5"/>
      <c r="H127" s="2"/>
    </row>
    <row r="128" spans="1:8" x14ac:dyDescent="0.25">
      <c r="A128" s="5">
        <v>88</v>
      </c>
      <c r="B128" s="1" t="s">
        <v>178</v>
      </c>
      <c r="C128" s="5" t="s">
        <v>42</v>
      </c>
      <c r="D128" s="5" t="s">
        <v>221</v>
      </c>
      <c r="E128" s="5"/>
      <c r="F128" s="5">
        <v>603</v>
      </c>
      <c r="G128" s="5"/>
      <c r="H128" s="2"/>
    </row>
    <row r="129" spans="1:9" x14ac:dyDescent="0.25">
      <c r="A129" s="5">
        <v>89</v>
      </c>
      <c r="B129" s="1" t="s">
        <v>166</v>
      </c>
      <c r="C129" s="5" t="s">
        <v>42</v>
      </c>
      <c r="D129" s="5" t="s">
        <v>221</v>
      </c>
      <c r="E129" s="5"/>
      <c r="F129" s="5">
        <v>345</v>
      </c>
      <c r="G129" s="5"/>
      <c r="H129" s="2"/>
    </row>
    <row r="130" spans="1:9" x14ac:dyDescent="0.25">
      <c r="A130" s="5">
        <v>90</v>
      </c>
      <c r="B130" s="1" t="s">
        <v>167</v>
      </c>
      <c r="C130" s="5" t="s">
        <v>42</v>
      </c>
      <c r="D130" s="5" t="s">
        <v>221</v>
      </c>
      <c r="E130" s="5"/>
      <c r="F130" s="5">
        <v>345</v>
      </c>
      <c r="G130" s="5"/>
      <c r="H130" s="2"/>
    </row>
    <row r="131" spans="1:9" x14ac:dyDescent="0.25">
      <c r="A131" s="5">
        <v>91</v>
      </c>
      <c r="B131" s="1" t="s">
        <v>168</v>
      </c>
      <c r="C131" s="5" t="s">
        <v>43</v>
      </c>
      <c r="D131" s="5"/>
      <c r="E131" s="5"/>
      <c r="F131" s="5"/>
      <c r="G131" s="5"/>
      <c r="H131" s="2"/>
      <c r="I131" t="s">
        <v>220</v>
      </c>
    </row>
    <row r="132" spans="1:9" x14ac:dyDescent="0.25">
      <c r="A132" s="5">
        <v>92</v>
      </c>
      <c r="B132" s="1" t="s">
        <v>169</v>
      </c>
      <c r="C132" s="5" t="s">
        <v>43</v>
      </c>
      <c r="D132" s="5"/>
      <c r="E132" s="5"/>
      <c r="F132" s="5"/>
      <c r="G132" s="5"/>
      <c r="H132" s="2"/>
      <c r="I132" t="s">
        <v>220</v>
      </c>
    </row>
    <row r="133" spans="1:9" x14ac:dyDescent="0.25">
      <c r="A133" s="5"/>
      <c r="B133" s="1" t="s">
        <v>197</v>
      </c>
      <c r="C133" s="5"/>
      <c r="D133" s="5"/>
      <c r="E133" s="5"/>
      <c r="F133" s="5"/>
      <c r="G133" s="5"/>
      <c r="H133" s="2"/>
      <c r="I133" t="s">
        <v>220</v>
      </c>
    </row>
    <row r="134" spans="1:9" x14ac:dyDescent="0.25">
      <c r="A134" s="5">
        <v>93</v>
      </c>
      <c r="B134" s="1" t="s">
        <v>170</v>
      </c>
      <c r="C134" s="5" t="s">
        <v>42</v>
      </c>
      <c r="D134" s="5" t="s">
        <v>221</v>
      </c>
      <c r="E134" s="5"/>
      <c r="F134" s="5">
        <v>121</v>
      </c>
      <c r="G134" s="5"/>
      <c r="H134" s="2"/>
    </row>
    <row r="135" spans="1:9" x14ac:dyDescent="0.25">
      <c r="A135" s="5">
        <v>94</v>
      </c>
      <c r="B135" s="1" t="s">
        <v>171</v>
      </c>
      <c r="C135" s="5" t="s">
        <v>42</v>
      </c>
      <c r="D135" s="5" t="s">
        <v>221</v>
      </c>
      <c r="E135" s="5"/>
      <c r="F135" s="5">
        <v>121</v>
      </c>
      <c r="G135" s="5"/>
      <c r="H135" s="2"/>
    </row>
    <row r="136" spans="1:9" x14ac:dyDescent="0.25">
      <c r="A136" s="5">
        <v>95</v>
      </c>
      <c r="B136" s="1" t="s">
        <v>172</v>
      </c>
      <c r="C136" s="5" t="s">
        <v>42</v>
      </c>
      <c r="D136" s="5" t="s">
        <v>221</v>
      </c>
      <c r="E136" s="5"/>
      <c r="F136" s="5">
        <v>121</v>
      </c>
      <c r="G136" s="5"/>
      <c r="H136" s="2"/>
    </row>
    <row r="137" spans="1:9" x14ac:dyDescent="0.25">
      <c r="A137" s="5">
        <v>96</v>
      </c>
      <c r="B137" s="1" t="s">
        <v>44</v>
      </c>
      <c r="C137" s="5" t="s">
        <v>43</v>
      </c>
      <c r="D137" s="5" t="s">
        <v>219</v>
      </c>
      <c r="E137" s="12">
        <v>44921</v>
      </c>
      <c r="F137" s="5">
        <v>800</v>
      </c>
      <c r="G137" s="5" t="s">
        <v>202</v>
      </c>
      <c r="H137" s="2"/>
    </row>
    <row r="138" spans="1:9" x14ac:dyDescent="0.25">
      <c r="A138" s="5">
        <v>97</v>
      </c>
      <c r="B138" s="1" t="s">
        <v>45</v>
      </c>
      <c r="C138" s="5" t="s">
        <v>43</v>
      </c>
      <c r="D138" s="5"/>
      <c r="E138" s="5"/>
      <c r="F138" s="5"/>
      <c r="G138" s="5"/>
      <c r="H138" s="2"/>
    </row>
    <row r="139" spans="1:9" x14ac:dyDescent="0.25">
      <c r="A139" s="5">
        <v>98</v>
      </c>
      <c r="B139" s="1" t="s">
        <v>46</v>
      </c>
      <c r="C139" s="5" t="s">
        <v>43</v>
      </c>
      <c r="D139" s="5" t="s">
        <v>219</v>
      </c>
      <c r="E139" s="12">
        <v>44921</v>
      </c>
      <c r="F139" s="5">
        <v>350</v>
      </c>
      <c r="G139" s="5" t="s">
        <v>202</v>
      </c>
      <c r="H139" s="2"/>
    </row>
    <row r="140" spans="1:9" x14ac:dyDescent="0.25">
      <c r="A140" s="5">
        <v>99</v>
      </c>
      <c r="B140" s="1" t="s">
        <v>47</v>
      </c>
      <c r="C140" s="5" t="s">
        <v>43</v>
      </c>
      <c r="D140" s="5"/>
      <c r="E140" s="5"/>
      <c r="F140" s="5"/>
      <c r="G140" s="5"/>
      <c r="H140" s="2"/>
    </row>
    <row r="141" spans="1:9" x14ac:dyDescent="0.25">
      <c r="A141" s="5">
        <v>100</v>
      </c>
      <c r="B141" s="1" t="s">
        <v>48</v>
      </c>
      <c r="C141" s="5" t="s">
        <v>43</v>
      </c>
      <c r="D141" s="5"/>
      <c r="E141" s="5"/>
      <c r="F141" s="5"/>
      <c r="G141" s="5"/>
      <c r="H141" s="2"/>
    </row>
    <row r="142" spans="1:9" x14ac:dyDescent="0.25">
      <c r="A142" s="5">
        <v>101</v>
      </c>
      <c r="B142" s="1" t="s">
        <v>49</v>
      </c>
      <c r="C142" s="5" t="s">
        <v>43</v>
      </c>
      <c r="D142" s="5"/>
      <c r="E142" s="5"/>
      <c r="F142" s="5"/>
      <c r="G142" s="5"/>
      <c r="H142" s="2"/>
    </row>
    <row r="143" spans="1:9" x14ac:dyDescent="0.25">
      <c r="A143" s="5">
        <v>102</v>
      </c>
      <c r="B143" s="1" t="s">
        <v>50</v>
      </c>
      <c r="C143" s="5" t="s">
        <v>43</v>
      </c>
      <c r="D143" s="5" t="s">
        <v>210</v>
      </c>
      <c r="E143" s="12">
        <v>44935</v>
      </c>
      <c r="F143" s="5">
        <f>768/24</f>
        <v>32</v>
      </c>
      <c r="G143" s="5" t="s">
        <v>202</v>
      </c>
      <c r="H143" s="2"/>
    </row>
    <row r="144" spans="1:9" x14ac:dyDescent="0.25">
      <c r="A144" s="5">
        <v>103</v>
      </c>
      <c r="B144" s="1" t="s">
        <v>51</v>
      </c>
      <c r="C144" s="1" t="s">
        <v>58</v>
      </c>
      <c r="D144" s="5" t="s">
        <v>217</v>
      </c>
      <c r="E144" s="12">
        <v>44942</v>
      </c>
      <c r="F144" s="5">
        <v>40.299999999999997</v>
      </c>
      <c r="G144" s="5" t="s">
        <v>218</v>
      </c>
      <c r="H144" s="2"/>
    </row>
    <row r="145" spans="1:9" x14ac:dyDescent="0.25">
      <c r="A145" s="5">
        <v>104</v>
      </c>
      <c r="B145" s="1" t="s">
        <v>52</v>
      </c>
      <c r="C145" s="1" t="s">
        <v>58</v>
      </c>
      <c r="D145" s="5"/>
      <c r="E145" s="5"/>
      <c r="F145" s="5"/>
      <c r="G145" s="5"/>
      <c r="H145" s="2"/>
    </row>
    <row r="146" spans="1:9" x14ac:dyDescent="0.25">
      <c r="A146" s="5">
        <v>105</v>
      </c>
      <c r="B146" s="1" t="s">
        <v>53</v>
      </c>
      <c r="C146" s="1" t="s">
        <v>58</v>
      </c>
      <c r="D146" s="5" t="s">
        <v>205</v>
      </c>
      <c r="E146" s="12">
        <v>44935</v>
      </c>
      <c r="F146" s="5">
        <f>1392/4</f>
        <v>348</v>
      </c>
      <c r="G146" s="5" t="s">
        <v>202</v>
      </c>
      <c r="H146" s="2"/>
    </row>
    <row r="147" spans="1:9" x14ac:dyDescent="0.25">
      <c r="A147" s="5">
        <v>106</v>
      </c>
      <c r="B147" s="1" t="s">
        <v>54</v>
      </c>
      <c r="C147" s="1" t="s">
        <v>58</v>
      </c>
      <c r="D147" s="5"/>
      <c r="E147" s="5"/>
      <c r="F147" s="5"/>
      <c r="G147" s="5"/>
      <c r="H147" s="2"/>
    </row>
    <row r="148" spans="1:9" x14ac:dyDescent="0.25">
      <c r="A148" s="5">
        <v>107</v>
      </c>
      <c r="B148" s="1" t="s">
        <v>55</v>
      </c>
      <c r="C148" s="1" t="s">
        <v>58</v>
      </c>
      <c r="D148" s="5"/>
      <c r="E148" s="5"/>
      <c r="F148" s="5"/>
      <c r="G148" s="5"/>
      <c r="H148" s="2"/>
    </row>
    <row r="149" spans="1:9" x14ac:dyDescent="0.25">
      <c r="A149" s="5">
        <v>108</v>
      </c>
      <c r="B149" s="1" t="s">
        <v>56</v>
      </c>
      <c r="C149" s="1" t="s">
        <v>58</v>
      </c>
      <c r="D149" s="5"/>
      <c r="E149" s="5"/>
      <c r="F149" s="5"/>
      <c r="G149" s="5"/>
      <c r="H149" s="2"/>
    </row>
    <row r="150" spans="1:9" x14ac:dyDescent="0.25">
      <c r="A150" s="5">
        <v>109</v>
      </c>
      <c r="B150" s="1" t="s">
        <v>57</v>
      </c>
      <c r="C150" s="1" t="s">
        <v>58</v>
      </c>
      <c r="D150" s="5"/>
      <c r="E150" s="5"/>
      <c r="F150" s="5"/>
      <c r="G150" s="5"/>
      <c r="H150" s="2"/>
    </row>
    <row r="151" spans="1:9" x14ac:dyDescent="0.25">
      <c r="A151" s="5">
        <v>110</v>
      </c>
      <c r="B151" s="1" t="s">
        <v>59</v>
      </c>
      <c r="C151" s="5" t="s">
        <v>43</v>
      </c>
      <c r="D151" s="5"/>
      <c r="E151" s="5"/>
      <c r="F151" s="5"/>
      <c r="G151" s="5"/>
      <c r="H151" s="2"/>
    </row>
    <row r="152" spans="1:9" x14ac:dyDescent="0.25">
      <c r="A152" s="5">
        <v>111</v>
      </c>
      <c r="B152" s="1" t="s">
        <v>60</v>
      </c>
      <c r="C152" s="5" t="s">
        <v>43</v>
      </c>
      <c r="D152" s="5" t="s">
        <v>103</v>
      </c>
      <c r="E152" s="5"/>
      <c r="F152" s="5"/>
      <c r="G152" s="5"/>
      <c r="H152" s="2"/>
    </row>
    <row r="153" spans="1:9" x14ac:dyDescent="0.25">
      <c r="A153" s="5">
        <v>112</v>
      </c>
      <c r="B153" s="1" t="s">
        <v>198</v>
      </c>
      <c r="C153" s="5" t="s">
        <v>43</v>
      </c>
      <c r="D153" s="5"/>
      <c r="E153" s="5"/>
      <c r="F153" s="5"/>
      <c r="G153" s="5"/>
      <c r="H153" s="2"/>
    </row>
    <row r="154" spans="1:9" x14ac:dyDescent="0.25">
      <c r="A154" s="5"/>
      <c r="B154" s="1" t="s">
        <v>199</v>
      </c>
      <c r="C154" s="5"/>
      <c r="D154" s="5"/>
      <c r="E154" s="5"/>
      <c r="F154" s="5"/>
      <c r="G154" s="5"/>
      <c r="H154" s="2"/>
    </row>
    <row r="155" spans="1:9" x14ac:dyDescent="0.25">
      <c r="A155" s="5">
        <v>113</v>
      </c>
      <c r="B155" s="1" t="s">
        <v>77</v>
      </c>
      <c r="C155" s="5" t="s">
        <v>82</v>
      </c>
      <c r="D155" s="5"/>
      <c r="E155" s="5"/>
      <c r="F155" s="5"/>
      <c r="G155" s="5"/>
      <c r="H155" s="2"/>
    </row>
    <row r="156" spans="1:9" x14ac:dyDescent="0.25">
      <c r="A156" s="5">
        <v>114</v>
      </c>
      <c r="B156" s="1" t="s">
        <v>78</v>
      </c>
      <c r="C156" s="5" t="s">
        <v>82</v>
      </c>
      <c r="D156" s="5"/>
      <c r="E156" s="5"/>
      <c r="F156" s="5"/>
      <c r="G156" s="5"/>
      <c r="H156" s="2"/>
    </row>
    <row r="157" spans="1:9" x14ac:dyDescent="0.25">
      <c r="A157" s="5">
        <v>115</v>
      </c>
      <c r="B157" s="1" t="s">
        <v>79</v>
      </c>
      <c r="C157" s="5" t="s">
        <v>82</v>
      </c>
      <c r="D157" s="5"/>
      <c r="E157" s="5"/>
      <c r="F157" s="5"/>
      <c r="G157" s="5"/>
      <c r="H157" s="2"/>
    </row>
    <row r="158" spans="1:9" x14ac:dyDescent="0.25">
      <c r="A158" s="5"/>
      <c r="B158" s="1" t="s">
        <v>200</v>
      </c>
      <c r="C158" s="5" t="s">
        <v>82</v>
      </c>
      <c r="D158" s="5"/>
      <c r="E158" s="5"/>
      <c r="F158" s="5"/>
      <c r="G158" s="5"/>
      <c r="H158" s="2"/>
      <c r="I158" t="s">
        <v>201</v>
      </c>
    </row>
    <row r="159" spans="1:9" x14ac:dyDescent="0.25">
      <c r="A159" s="5">
        <v>116</v>
      </c>
      <c r="B159" s="1" t="s">
        <v>0</v>
      </c>
      <c r="C159" s="5" t="s">
        <v>83</v>
      </c>
      <c r="D159" s="5"/>
      <c r="E159" s="5"/>
      <c r="F159" s="5"/>
      <c r="G159" s="5"/>
      <c r="H159" s="2"/>
    </row>
    <row r="160" spans="1:9" x14ac:dyDescent="0.25">
      <c r="A160" s="5">
        <v>117</v>
      </c>
      <c r="B160" s="1" t="s">
        <v>61</v>
      </c>
      <c r="C160" s="5" t="s">
        <v>83</v>
      </c>
      <c r="D160" s="5"/>
      <c r="E160" s="5"/>
      <c r="F160" s="5"/>
      <c r="G160" s="5"/>
      <c r="H160" s="2"/>
    </row>
    <row r="161" spans="1:8" x14ac:dyDescent="0.25">
      <c r="A161" s="5">
        <v>118</v>
      </c>
      <c r="B161" s="1" t="s">
        <v>62</v>
      </c>
      <c r="C161" s="5" t="s">
        <v>83</v>
      </c>
      <c r="D161" s="5"/>
      <c r="E161" s="5"/>
      <c r="F161" s="5"/>
      <c r="G161" s="5"/>
      <c r="H161" s="2"/>
    </row>
    <row r="162" spans="1:8" x14ac:dyDescent="0.25">
      <c r="A162" s="5">
        <v>119</v>
      </c>
      <c r="B162" s="1" t="s">
        <v>63</v>
      </c>
      <c r="C162" s="5" t="s">
        <v>83</v>
      </c>
      <c r="D162" s="5"/>
      <c r="E162" s="5"/>
      <c r="F162" s="5"/>
      <c r="G162" s="5"/>
      <c r="H162" s="2"/>
    </row>
    <row r="163" spans="1:8" x14ac:dyDescent="0.25">
      <c r="A163" s="5">
        <v>120</v>
      </c>
      <c r="B163" s="1" t="s">
        <v>64</v>
      </c>
      <c r="C163" s="5" t="s">
        <v>83</v>
      </c>
      <c r="D163" s="5"/>
      <c r="E163" s="5"/>
      <c r="F163" s="5"/>
      <c r="G163" s="5"/>
      <c r="H163" s="2"/>
    </row>
    <row r="164" spans="1:8" x14ac:dyDescent="0.25">
      <c r="A164" s="5">
        <v>121</v>
      </c>
      <c r="B164" s="1" t="s">
        <v>65</v>
      </c>
      <c r="C164" s="5" t="s">
        <v>83</v>
      </c>
      <c r="D164" s="5"/>
      <c r="E164" s="5"/>
      <c r="F164" s="5"/>
      <c r="G164" s="5"/>
      <c r="H164" s="2"/>
    </row>
    <row r="165" spans="1:8" x14ac:dyDescent="0.25">
      <c r="A165" s="5">
        <v>122</v>
      </c>
      <c r="B165" s="1" t="s">
        <v>66</v>
      </c>
      <c r="C165" s="5" t="s">
        <v>83</v>
      </c>
      <c r="D165" s="5"/>
      <c r="E165" s="5"/>
      <c r="F165" s="5"/>
      <c r="G165" s="5"/>
      <c r="H165" s="2"/>
    </row>
    <row r="166" spans="1:8" x14ac:dyDescent="0.25">
      <c r="A166" s="5">
        <v>123</v>
      </c>
      <c r="B166" s="1" t="s">
        <v>67</v>
      </c>
      <c r="C166" s="5" t="s">
        <v>83</v>
      </c>
      <c r="D166" s="5"/>
      <c r="E166" s="5"/>
      <c r="F166" s="5"/>
      <c r="G166" s="5"/>
      <c r="H166" s="2"/>
    </row>
    <row r="167" spans="1:8" x14ac:dyDescent="0.25">
      <c r="A167" s="5">
        <v>124</v>
      </c>
      <c r="B167" s="1" t="s">
        <v>68</v>
      </c>
      <c r="C167" s="5" t="s">
        <v>83</v>
      </c>
      <c r="D167" s="5"/>
      <c r="E167" s="5"/>
      <c r="F167" s="5"/>
      <c r="G167" s="5"/>
      <c r="H167" s="2"/>
    </row>
    <row r="168" spans="1:8" x14ac:dyDescent="0.25">
      <c r="A168" s="5">
        <v>125</v>
      </c>
      <c r="B168" s="1" t="s">
        <v>69</v>
      </c>
      <c r="C168" s="5" t="s">
        <v>83</v>
      </c>
      <c r="D168" s="5"/>
      <c r="E168" s="5"/>
      <c r="F168" s="5"/>
      <c r="G168" s="5"/>
      <c r="H168" s="2"/>
    </row>
    <row r="169" spans="1:8" x14ac:dyDescent="0.25">
      <c r="A169" s="5">
        <v>126</v>
      </c>
      <c r="B169" s="1" t="s">
        <v>70</v>
      </c>
      <c r="C169" s="5" t="s">
        <v>83</v>
      </c>
      <c r="D169" s="5"/>
      <c r="E169" s="5"/>
      <c r="F169" s="5"/>
      <c r="G169" s="5"/>
      <c r="H169" s="2"/>
    </row>
    <row r="170" spans="1:8" x14ac:dyDescent="0.25">
      <c r="A170" s="5">
        <v>127</v>
      </c>
      <c r="B170" s="1" t="s">
        <v>71</v>
      </c>
      <c r="C170" s="5" t="s">
        <v>83</v>
      </c>
      <c r="D170" s="5"/>
      <c r="E170" s="5"/>
      <c r="F170" s="5"/>
      <c r="G170" s="5"/>
      <c r="H170" s="2"/>
    </row>
    <row r="171" spans="1:8" x14ac:dyDescent="0.25">
      <c r="A171" s="5">
        <v>128</v>
      </c>
      <c r="B171" s="1" t="s">
        <v>72</v>
      </c>
      <c r="C171" s="5" t="s">
        <v>83</v>
      </c>
      <c r="D171" s="5"/>
      <c r="E171" s="5"/>
      <c r="F171" s="5"/>
      <c r="G171" s="5"/>
      <c r="H171" s="2"/>
    </row>
    <row r="172" spans="1:8" x14ac:dyDescent="0.25">
      <c r="A172" s="5">
        <v>129</v>
      </c>
      <c r="B172" s="1" t="s">
        <v>73</v>
      </c>
      <c r="C172" s="5" t="s">
        <v>83</v>
      </c>
      <c r="D172" s="5"/>
      <c r="E172" s="5"/>
      <c r="F172" s="5"/>
      <c r="G172" s="5"/>
      <c r="H172" s="2"/>
    </row>
    <row r="173" spans="1:8" x14ac:dyDescent="0.25">
      <c r="A173" s="5">
        <v>130</v>
      </c>
      <c r="B173" s="1" t="s">
        <v>74</v>
      </c>
      <c r="C173" s="5" t="s">
        <v>83</v>
      </c>
      <c r="D173" s="5"/>
      <c r="E173" s="5"/>
      <c r="F173" s="5"/>
      <c r="G173" s="5"/>
      <c r="H173" s="2"/>
    </row>
    <row r="174" spans="1:8" x14ac:dyDescent="0.25">
      <c r="A174" s="5">
        <v>131</v>
      </c>
      <c r="B174" s="1" t="s">
        <v>75</v>
      </c>
      <c r="C174" s="5" t="s">
        <v>83</v>
      </c>
      <c r="D174" s="5"/>
      <c r="E174" s="5"/>
      <c r="F174" s="5"/>
      <c r="G174" s="5"/>
      <c r="H174" s="2"/>
    </row>
    <row r="175" spans="1:8" x14ac:dyDescent="0.25">
      <c r="A175" s="5">
        <v>132</v>
      </c>
      <c r="B175" s="1" t="s">
        <v>76</v>
      </c>
      <c r="C175" s="5" t="s">
        <v>83</v>
      </c>
      <c r="D175" s="5"/>
      <c r="E175" s="5"/>
      <c r="F175" s="5"/>
      <c r="G175" s="5"/>
      <c r="H175" s="2"/>
    </row>
    <row r="176" spans="1:8" x14ac:dyDescent="0.25">
      <c r="A176" s="5">
        <v>133</v>
      </c>
      <c r="B176" s="1" t="s">
        <v>80</v>
      </c>
      <c r="C176" s="5" t="s">
        <v>83</v>
      </c>
      <c r="D176" s="5"/>
      <c r="E176" s="5"/>
      <c r="F176" s="5"/>
      <c r="G176" s="5"/>
      <c r="H176" s="2"/>
    </row>
    <row r="177" spans="1:8" x14ac:dyDescent="0.25">
      <c r="A177" s="5">
        <v>134</v>
      </c>
      <c r="B177" s="1" t="s">
        <v>81</v>
      </c>
      <c r="C177" s="5" t="s">
        <v>83</v>
      </c>
      <c r="D177" s="5"/>
      <c r="E177" s="5"/>
      <c r="F177" s="5"/>
      <c r="G177" s="5"/>
      <c r="H177" s="2"/>
    </row>
    <row r="178" spans="1:8" x14ac:dyDescent="0.25">
      <c r="A178" s="5">
        <v>135</v>
      </c>
      <c r="B178" s="1" t="s">
        <v>84</v>
      </c>
      <c r="C178" s="5" t="s">
        <v>83</v>
      </c>
      <c r="D178" s="5"/>
      <c r="E178" s="5"/>
      <c r="F178" s="5"/>
      <c r="G178" s="5"/>
      <c r="H178" s="2"/>
    </row>
    <row r="179" spans="1:8" x14ac:dyDescent="0.25">
      <c r="A179" s="5">
        <v>136</v>
      </c>
      <c r="B179" s="1" t="s">
        <v>85</v>
      </c>
      <c r="C179" s="5" t="s">
        <v>83</v>
      </c>
      <c r="D179" s="5"/>
      <c r="E179" s="5"/>
      <c r="F179" s="5"/>
      <c r="G179" s="5"/>
      <c r="H179" s="2"/>
    </row>
    <row r="180" spans="1:8" x14ac:dyDescent="0.25">
      <c r="A180" s="5">
        <v>137</v>
      </c>
      <c r="B180" s="1" t="s">
        <v>86</v>
      </c>
      <c r="C180" s="5" t="s">
        <v>83</v>
      </c>
      <c r="D180" s="5"/>
      <c r="E180" s="5"/>
      <c r="F180" s="5"/>
      <c r="G180" s="5"/>
      <c r="H180" s="2"/>
    </row>
    <row r="181" spans="1:8" x14ac:dyDescent="0.25">
      <c r="A181" s="5">
        <v>138</v>
      </c>
      <c r="B181" s="1" t="s">
        <v>87</v>
      </c>
      <c r="C181" s="5" t="s">
        <v>83</v>
      </c>
      <c r="D181" s="5"/>
      <c r="E181" s="5"/>
      <c r="F181" s="5"/>
      <c r="G181" s="5"/>
      <c r="H181" s="2"/>
    </row>
    <row r="182" spans="1:8" x14ac:dyDescent="0.25">
      <c r="A182" s="5">
        <v>139</v>
      </c>
      <c r="B182" s="1" t="s">
        <v>88</v>
      </c>
      <c r="C182" s="5" t="s">
        <v>83</v>
      </c>
      <c r="D182" s="5"/>
      <c r="E182" s="5"/>
      <c r="F182" s="5"/>
      <c r="G182" s="5"/>
      <c r="H182" s="2"/>
    </row>
    <row r="183" spans="1:8" x14ac:dyDescent="0.25">
      <c r="A183" s="5">
        <v>140</v>
      </c>
      <c r="B183" s="1" t="s">
        <v>89</v>
      </c>
      <c r="C183" s="5" t="s">
        <v>83</v>
      </c>
      <c r="D183" s="5"/>
      <c r="E183" s="5"/>
      <c r="F183" s="5"/>
      <c r="G183" s="5"/>
      <c r="H183" s="2"/>
    </row>
    <row r="184" spans="1:8" x14ac:dyDescent="0.25">
      <c r="A184" s="5">
        <v>141</v>
      </c>
      <c r="B184" s="1" t="s">
        <v>96</v>
      </c>
      <c r="C184" s="5" t="s">
        <v>83</v>
      </c>
      <c r="D184" s="5"/>
      <c r="E184" s="5"/>
      <c r="F184" s="5"/>
      <c r="G184" s="5"/>
      <c r="H184" s="2"/>
    </row>
    <row r="185" spans="1:8" x14ac:dyDescent="0.25">
      <c r="A185" s="5">
        <v>142</v>
      </c>
      <c r="B185" s="1" t="s">
        <v>97</v>
      </c>
      <c r="C185" s="5" t="s">
        <v>83</v>
      </c>
      <c r="D185" s="5" t="s">
        <v>203</v>
      </c>
      <c r="E185" s="7">
        <v>44935</v>
      </c>
      <c r="F185" s="5">
        <f>187.14/20</f>
        <v>9.3569999999999993</v>
      </c>
      <c r="G185" s="5" t="s">
        <v>202</v>
      </c>
      <c r="H185" s="2"/>
    </row>
    <row r="186" spans="1:8" x14ac:dyDescent="0.25">
      <c r="A186" s="5">
        <v>143</v>
      </c>
      <c r="B186" s="1" t="s">
        <v>98</v>
      </c>
      <c r="C186" s="5" t="s">
        <v>83</v>
      </c>
      <c r="D186" s="5" t="s">
        <v>203</v>
      </c>
      <c r="E186" s="7">
        <v>44935</v>
      </c>
      <c r="F186" s="5">
        <f>493.4/20</f>
        <v>24.669999999999998</v>
      </c>
      <c r="G186" s="5" t="s">
        <v>202</v>
      </c>
      <c r="H186" s="2"/>
    </row>
    <row r="187" spans="1:8" x14ac:dyDescent="0.25">
      <c r="A187" s="5">
        <v>144</v>
      </c>
      <c r="B187" s="1" t="s">
        <v>99</v>
      </c>
      <c r="C187" s="5" t="s">
        <v>102</v>
      </c>
      <c r="D187" s="5"/>
      <c r="E187" s="5"/>
      <c r="F187" s="5"/>
      <c r="G187" s="5"/>
      <c r="H187" s="2"/>
    </row>
    <row r="188" spans="1:8" x14ac:dyDescent="0.25">
      <c r="A188" s="5">
        <v>145</v>
      </c>
      <c r="B188" s="1" t="s">
        <v>100</v>
      </c>
      <c r="C188" s="5" t="s">
        <v>102</v>
      </c>
      <c r="D188" s="5"/>
      <c r="E188" s="5"/>
      <c r="F188" s="5"/>
      <c r="G188" s="5"/>
      <c r="H188" s="2"/>
    </row>
    <row r="189" spans="1:8" x14ac:dyDescent="0.25">
      <c r="A189" s="5">
        <v>146</v>
      </c>
      <c r="B189" s="1" t="s">
        <v>101</v>
      </c>
      <c r="C189" s="5" t="s">
        <v>102</v>
      </c>
      <c r="D189" s="5"/>
      <c r="E189" s="5"/>
      <c r="F189" s="5"/>
      <c r="G189" s="5"/>
      <c r="H189" s="2"/>
    </row>
    <row r="190" spans="1:8" x14ac:dyDescent="0.25">
      <c r="A190" s="5">
        <v>147</v>
      </c>
      <c r="B190" s="1" t="s">
        <v>90</v>
      </c>
      <c r="C190" s="1" t="s">
        <v>95</v>
      </c>
      <c r="D190" s="5"/>
      <c r="E190" s="5"/>
      <c r="F190" s="5"/>
      <c r="G190" s="5"/>
      <c r="H190" s="2"/>
    </row>
    <row r="191" spans="1:8" x14ac:dyDescent="0.25">
      <c r="A191" s="5">
        <v>148</v>
      </c>
      <c r="B191" s="1" t="s">
        <v>91</v>
      </c>
      <c r="C191" s="1" t="s">
        <v>95</v>
      </c>
      <c r="D191" s="5"/>
      <c r="E191" s="5"/>
      <c r="F191" s="5"/>
      <c r="G191" s="5"/>
      <c r="H191" s="2"/>
    </row>
    <row r="192" spans="1:8" x14ac:dyDescent="0.25">
      <c r="A192" s="5">
        <v>149</v>
      </c>
      <c r="B192" s="1" t="s">
        <v>92</v>
      </c>
      <c r="C192" s="1" t="s">
        <v>43</v>
      </c>
      <c r="D192" s="5" t="s">
        <v>27</v>
      </c>
      <c r="E192" s="5"/>
      <c r="F192" s="5"/>
      <c r="G192" s="5"/>
      <c r="H192" s="2"/>
    </row>
    <row r="193" spans="1:8" x14ac:dyDescent="0.25">
      <c r="A193" s="5">
        <v>150</v>
      </c>
      <c r="B193" s="1" t="s">
        <v>93</v>
      </c>
      <c r="C193" s="1" t="s">
        <v>43</v>
      </c>
      <c r="D193" s="5" t="s">
        <v>27</v>
      </c>
      <c r="E193" s="5"/>
      <c r="F193" s="5"/>
      <c r="G193" s="5"/>
      <c r="H193" s="2"/>
    </row>
    <row r="194" spans="1:8" x14ac:dyDescent="0.25">
      <c r="A194" s="5">
        <v>151</v>
      </c>
      <c r="B194" s="1" t="s">
        <v>94</v>
      </c>
      <c r="C194" s="1" t="s">
        <v>43</v>
      </c>
      <c r="D194" s="5" t="s">
        <v>27</v>
      </c>
      <c r="E194" s="5"/>
      <c r="F194" s="5"/>
      <c r="G194" s="5"/>
      <c r="H194" s="2"/>
    </row>
    <row r="195" spans="1:8" x14ac:dyDescent="0.25">
      <c r="A195" s="5">
        <v>152</v>
      </c>
      <c r="B195" s="1" t="s">
        <v>108</v>
      </c>
      <c r="C195" s="1" t="s">
        <v>43</v>
      </c>
      <c r="D195" s="5"/>
      <c r="E195" s="5"/>
      <c r="F195" s="5"/>
      <c r="G195" s="5"/>
      <c r="H195" s="2"/>
    </row>
    <row r="196" spans="1:8" x14ac:dyDescent="0.25">
      <c r="A196" s="5">
        <v>153</v>
      </c>
      <c r="B196" s="1" t="s">
        <v>104</v>
      </c>
      <c r="C196" s="5"/>
      <c r="D196" s="5"/>
      <c r="E196" s="5"/>
      <c r="F196" s="5"/>
      <c r="G196" s="5"/>
      <c r="H196" s="2"/>
    </row>
    <row r="197" spans="1:8" x14ac:dyDescent="0.25">
      <c r="A197" s="5">
        <v>154</v>
      </c>
      <c r="B197" s="1" t="s">
        <v>107</v>
      </c>
      <c r="C197" s="5"/>
      <c r="D197" s="5"/>
      <c r="E197" s="5"/>
      <c r="F197" s="5"/>
      <c r="G197" s="5"/>
      <c r="H197" s="2"/>
    </row>
    <row r="198" spans="1:8" x14ac:dyDescent="0.25">
      <c r="A198" s="5"/>
      <c r="B198" s="1" t="s">
        <v>185</v>
      </c>
      <c r="C198" s="5"/>
      <c r="D198" s="5"/>
      <c r="E198" s="5"/>
      <c r="F198" s="5"/>
      <c r="G198" s="5"/>
      <c r="H198" s="2"/>
    </row>
    <row r="199" spans="1:8" x14ac:dyDescent="0.25">
      <c r="A199" s="5"/>
      <c r="B199" s="1" t="s">
        <v>204</v>
      </c>
      <c r="C199" s="5" t="s">
        <v>83</v>
      </c>
      <c r="D199" s="5" t="s">
        <v>203</v>
      </c>
      <c r="E199" s="7">
        <v>44935</v>
      </c>
      <c r="F199" s="5">
        <v>10</v>
      </c>
      <c r="G199" s="5" t="s">
        <v>202</v>
      </c>
      <c r="H199" s="2"/>
    </row>
    <row r="200" spans="1:8" x14ac:dyDescent="0.25">
      <c r="A200" s="5"/>
      <c r="B200" s="5" t="s">
        <v>206</v>
      </c>
      <c r="C200" s="5" t="s">
        <v>82</v>
      </c>
      <c r="D200" s="5" t="s">
        <v>208</v>
      </c>
      <c r="E200" s="7">
        <v>44935</v>
      </c>
      <c r="F200" s="5">
        <v>220</v>
      </c>
      <c r="G200" s="5"/>
      <c r="H200" s="2"/>
    </row>
    <row r="201" spans="1:8" x14ac:dyDescent="0.25">
      <c r="A201" s="5"/>
      <c r="B201" s="5" t="s">
        <v>207</v>
      </c>
      <c r="C201" s="5" t="s">
        <v>209</v>
      </c>
      <c r="D201" s="5" t="s">
        <v>208</v>
      </c>
      <c r="E201" s="7">
        <v>44935</v>
      </c>
      <c r="F201" s="5">
        <v>85</v>
      </c>
      <c r="G201" s="5" t="s">
        <v>202</v>
      </c>
      <c r="H201" s="2"/>
    </row>
    <row r="202" spans="1:8" x14ac:dyDescent="0.25">
      <c r="A202" s="5"/>
      <c r="B202" s="1" t="s">
        <v>215</v>
      </c>
      <c r="C202" s="5"/>
      <c r="D202" s="5"/>
      <c r="E202" s="12">
        <v>44937</v>
      </c>
      <c r="F202" s="5"/>
      <c r="G202" s="5" t="s">
        <v>202</v>
      </c>
      <c r="H202" s="2"/>
    </row>
    <row r="203" spans="1:8" x14ac:dyDescent="0.25">
      <c r="B203" s="5" t="s">
        <v>234</v>
      </c>
      <c r="C203" s="5" t="s">
        <v>235</v>
      </c>
      <c r="D203" s="5"/>
      <c r="E203" s="5"/>
      <c r="F203" s="5"/>
      <c r="G203" s="5"/>
      <c r="H203" s="2"/>
    </row>
    <row r="204" spans="1:8" x14ac:dyDescent="0.25">
      <c r="B204" s="5" t="s">
        <v>236</v>
      </c>
      <c r="C204" s="5" t="s">
        <v>237</v>
      </c>
      <c r="D204" s="5"/>
      <c r="E204" s="5"/>
      <c r="F204" s="5"/>
      <c r="G204" s="5"/>
      <c r="H204" s="2"/>
    </row>
    <row r="205" spans="1:8" x14ac:dyDescent="0.25">
      <c r="B205" s="5" t="s">
        <v>238</v>
      </c>
      <c r="C205" s="5" t="s">
        <v>239</v>
      </c>
      <c r="D205" s="5"/>
      <c r="E205" s="5"/>
      <c r="F205" s="5"/>
      <c r="G205" s="5"/>
      <c r="H205" s="2"/>
    </row>
    <row r="206" spans="1:8" x14ac:dyDescent="0.25">
      <c r="B206" s="5" t="s">
        <v>240</v>
      </c>
      <c r="C206" s="5" t="s">
        <v>241</v>
      </c>
      <c r="D206" s="5"/>
      <c r="E206" s="5"/>
      <c r="F206" s="5"/>
      <c r="G206" s="5"/>
      <c r="H206" s="2"/>
    </row>
    <row r="207" spans="1:8" x14ac:dyDescent="0.25">
      <c r="B207" s="5" t="s">
        <v>242</v>
      </c>
      <c r="C207" s="5" t="s">
        <v>243</v>
      </c>
      <c r="D207" s="5"/>
      <c r="E207" s="5"/>
      <c r="F207" s="5"/>
      <c r="G207" s="5"/>
      <c r="H207" s="2"/>
    </row>
    <row r="208" spans="1:8" x14ac:dyDescent="0.25">
      <c r="B208" s="5" t="s">
        <v>244</v>
      </c>
      <c r="C208" s="5" t="s">
        <v>239</v>
      </c>
      <c r="D208" s="5"/>
      <c r="E208" s="5"/>
      <c r="F208" s="5"/>
      <c r="G208" s="5"/>
      <c r="H208" s="2"/>
    </row>
    <row r="209" spans="2:8" x14ac:dyDescent="0.25">
      <c r="B209" s="5" t="s">
        <v>245</v>
      </c>
      <c r="C209" s="5" t="s">
        <v>246</v>
      </c>
      <c r="D209" s="5"/>
      <c r="E209" s="5"/>
      <c r="F209" s="5"/>
      <c r="G209" s="5"/>
      <c r="H209" s="2"/>
    </row>
    <row r="210" spans="2:8" x14ac:dyDescent="0.25">
      <c r="B210" s="5" t="s">
        <v>247</v>
      </c>
      <c r="C210" s="5" t="s">
        <v>248</v>
      </c>
      <c r="D210" s="5"/>
      <c r="E210" s="5"/>
      <c r="F210" s="5"/>
      <c r="G210" s="5"/>
      <c r="H210" s="2"/>
    </row>
    <row r="211" spans="2:8" x14ac:dyDescent="0.25">
      <c r="B211" s="5" t="s">
        <v>249</v>
      </c>
      <c r="C211" s="5" t="s">
        <v>250</v>
      </c>
      <c r="D211" s="5"/>
      <c r="E211" s="5"/>
      <c r="F211" s="5"/>
      <c r="G211" s="5"/>
      <c r="H211" s="2"/>
    </row>
    <row r="212" spans="2:8" x14ac:dyDescent="0.25">
      <c r="B212" s="5" t="s">
        <v>251</v>
      </c>
      <c r="C212" s="5" t="s">
        <v>252</v>
      </c>
      <c r="D212" s="5"/>
      <c r="E212" s="5"/>
      <c r="F212" s="5"/>
      <c r="G212" s="5"/>
      <c r="H212" s="2"/>
    </row>
    <row r="213" spans="2:8" x14ac:dyDescent="0.25">
      <c r="B213" s="5" t="s">
        <v>253</v>
      </c>
      <c r="C213" s="5" t="s">
        <v>254</v>
      </c>
      <c r="D213" s="5"/>
      <c r="E213" s="5"/>
      <c r="F213" s="5"/>
      <c r="G213" s="5"/>
      <c r="H213" s="2"/>
    </row>
    <row r="214" spans="2:8" x14ac:dyDescent="0.25">
      <c r="B214" s="5" t="s">
        <v>255</v>
      </c>
      <c r="C214" s="5" t="s">
        <v>256</v>
      </c>
      <c r="D214" s="5"/>
      <c r="E214" s="5"/>
      <c r="F214" s="5"/>
      <c r="G214" s="5"/>
      <c r="H214" s="2"/>
    </row>
    <row r="215" spans="2:8" x14ac:dyDescent="0.25">
      <c r="B215" s="5" t="s">
        <v>257</v>
      </c>
      <c r="C215" s="5" t="s">
        <v>258</v>
      </c>
      <c r="D215" s="5"/>
      <c r="E215" s="5"/>
      <c r="F215" s="5"/>
      <c r="G215" s="5"/>
      <c r="H215" s="2"/>
    </row>
    <row r="216" spans="2:8" x14ac:dyDescent="0.25">
      <c r="B216" s="5" t="s">
        <v>259</v>
      </c>
      <c r="C216" s="5" t="s">
        <v>260</v>
      </c>
      <c r="D216" s="5"/>
      <c r="E216" s="5"/>
      <c r="F216" s="5"/>
      <c r="G216" s="5"/>
      <c r="H216" s="2"/>
    </row>
    <row r="217" spans="2:8" x14ac:dyDescent="0.25">
      <c r="B217" s="1" t="s">
        <v>261</v>
      </c>
      <c r="C217" s="5" t="s">
        <v>260</v>
      </c>
      <c r="D217" s="5"/>
      <c r="E217" s="5"/>
      <c r="F217" s="5"/>
      <c r="G217" s="5"/>
      <c r="H217" s="2"/>
    </row>
    <row r="218" spans="2:8" x14ac:dyDescent="0.25">
      <c r="B218" s="1" t="s">
        <v>262</v>
      </c>
      <c r="C218" s="5" t="s">
        <v>263</v>
      </c>
      <c r="D218" s="5"/>
      <c r="E218" s="5"/>
      <c r="F218" s="5"/>
      <c r="G218" s="5"/>
      <c r="H218" s="2"/>
    </row>
    <row r="219" spans="2:8" x14ac:dyDescent="0.25">
      <c r="B219" s="1" t="s">
        <v>264</v>
      </c>
      <c r="C219" s="5"/>
      <c r="D219" s="5"/>
      <c r="E219" s="5"/>
      <c r="F219" s="5"/>
      <c r="G219" s="5"/>
      <c r="H219" s="2"/>
    </row>
    <row r="220" spans="2:8" x14ac:dyDescent="0.25">
      <c r="B220" s="1" t="s">
        <v>265</v>
      </c>
      <c r="C220" s="5"/>
      <c r="D220" s="5"/>
      <c r="E220" s="5"/>
      <c r="F220" s="5"/>
      <c r="G220" s="5"/>
      <c r="H220" s="2"/>
    </row>
    <row r="221" spans="2:8" x14ac:dyDescent="0.25">
      <c r="B221" s="1" t="s">
        <v>266</v>
      </c>
      <c r="C221" s="5"/>
      <c r="D221" s="5"/>
      <c r="E221" s="5"/>
      <c r="F221" s="5"/>
      <c r="G221" s="5"/>
      <c r="H221" s="2"/>
    </row>
    <row r="222" spans="2:8" x14ac:dyDescent="0.25">
      <c r="B222" s="1" t="s">
        <v>267</v>
      </c>
      <c r="C222" s="5"/>
      <c r="D222" s="5"/>
      <c r="E222" s="5"/>
      <c r="F222" s="5"/>
      <c r="G222" s="5"/>
      <c r="H222" s="2"/>
    </row>
    <row r="223" spans="2:8" x14ac:dyDescent="0.25">
      <c r="B223" s="1" t="s">
        <v>268</v>
      </c>
      <c r="C223" s="5"/>
      <c r="D223" s="5"/>
      <c r="E223" s="5"/>
      <c r="F223" s="5"/>
      <c r="G223" s="5"/>
      <c r="H223" s="2"/>
    </row>
    <row r="224" spans="2:8" x14ac:dyDescent="0.25">
      <c r="B224" s="1" t="s">
        <v>269</v>
      </c>
      <c r="C224" s="5"/>
      <c r="D224" s="5"/>
      <c r="E224" s="5"/>
      <c r="F224" s="5"/>
      <c r="G224" s="5"/>
      <c r="H224" s="2"/>
    </row>
    <row r="225" spans="2:8" x14ac:dyDescent="0.25">
      <c r="B225" s="1" t="s">
        <v>270</v>
      </c>
      <c r="C225" s="5"/>
      <c r="D225" s="5"/>
      <c r="E225" s="5"/>
      <c r="F225" s="5"/>
      <c r="G225" s="5"/>
      <c r="H225" s="2"/>
    </row>
    <row r="226" spans="2:8" x14ac:dyDescent="0.25">
      <c r="B226" s="1" t="s">
        <v>271</v>
      </c>
      <c r="C226" s="5"/>
      <c r="D226" s="5"/>
      <c r="E226" s="5"/>
      <c r="F226" s="5"/>
      <c r="G226" s="5"/>
      <c r="H226" s="2"/>
    </row>
    <row r="227" spans="2:8" x14ac:dyDescent="0.25">
      <c r="B227" s="1" t="s">
        <v>272</v>
      </c>
      <c r="C227" s="5"/>
      <c r="D227" s="5"/>
      <c r="E227" s="5"/>
      <c r="F227" s="5"/>
      <c r="G227" s="5"/>
      <c r="H227" s="2"/>
    </row>
    <row r="228" spans="2:8" x14ac:dyDescent="0.25">
      <c r="B228" s="1" t="s">
        <v>273</v>
      </c>
      <c r="C228" s="5"/>
      <c r="D228" s="5"/>
      <c r="E228" s="5"/>
      <c r="F228" s="5"/>
      <c r="G228" s="5"/>
      <c r="H228" s="2"/>
    </row>
    <row r="229" spans="2:8" x14ac:dyDescent="0.25">
      <c r="B229" s="1" t="s">
        <v>274</v>
      </c>
      <c r="C229" s="5"/>
      <c r="D229" s="5"/>
      <c r="E229" s="5"/>
      <c r="F229" s="5"/>
      <c r="G229" s="5"/>
      <c r="H229" s="2"/>
    </row>
    <row r="230" spans="2:8" x14ac:dyDescent="0.25">
      <c r="B230" s="1" t="s">
        <v>275</v>
      </c>
      <c r="C230" s="5"/>
      <c r="D230" s="5"/>
      <c r="E230" s="5"/>
      <c r="F230" s="5"/>
      <c r="G230" s="5"/>
      <c r="H230" s="2"/>
    </row>
    <row r="231" spans="2:8" x14ac:dyDescent="0.25">
      <c r="B231" s="1" t="s">
        <v>276</v>
      </c>
      <c r="C231" s="5"/>
      <c r="D231" s="5"/>
      <c r="E231" s="5"/>
      <c r="F231" s="5"/>
      <c r="G231" s="5"/>
      <c r="H231" s="2"/>
    </row>
    <row r="232" spans="2:8" x14ac:dyDescent="0.25">
      <c r="B232" s="1" t="s">
        <v>277</v>
      </c>
      <c r="C232" s="5"/>
      <c r="D232" s="5"/>
      <c r="E232" s="5"/>
      <c r="F232" s="5"/>
      <c r="G232" s="5"/>
      <c r="H232" s="2"/>
    </row>
    <row r="233" spans="2:8" x14ac:dyDescent="0.25">
      <c r="B233" s="1" t="s">
        <v>278</v>
      </c>
      <c r="C233" s="5"/>
      <c r="D233" s="5"/>
      <c r="E233" s="5"/>
      <c r="F233" s="5"/>
      <c r="G233" s="5"/>
      <c r="H233" s="2"/>
    </row>
    <row r="234" spans="2:8" x14ac:dyDescent="0.25">
      <c r="B234" s="5" t="s">
        <v>279</v>
      </c>
      <c r="C234" s="5"/>
      <c r="D234" s="5"/>
      <c r="E234" s="5"/>
      <c r="F234" s="5"/>
      <c r="G234" s="5"/>
      <c r="H234" s="2"/>
    </row>
    <row r="235" spans="2:8" x14ac:dyDescent="0.25">
      <c r="B235" s="5" t="s">
        <v>280</v>
      </c>
      <c r="C235" s="5"/>
      <c r="D235" s="5"/>
      <c r="E235" s="5"/>
      <c r="F235" s="5"/>
      <c r="G235" s="5"/>
      <c r="H235" s="2"/>
    </row>
    <row r="236" spans="2:8" x14ac:dyDescent="0.25">
      <c r="B236" s="1" t="s">
        <v>281</v>
      </c>
      <c r="C236" s="5"/>
      <c r="D236" s="5"/>
      <c r="E236" s="5"/>
      <c r="F236" s="5"/>
      <c r="G236" s="5"/>
      <c r="H236" s="2"/>
    </row>
    <row r="237" spans="2:8" x14ac:dyDescent="0.25">
      <c r="B237" s="1" t="s">
        <v>282</v>
      </c>
      <c r="C237" s="5"/>
      <c r="D237" s="5"/>
      <c r="E237" s="5"/>
      <c r="F237" s="5"/>
      <c r="G237" s="5"/>
      <c r="H237" s="2"/>
    </row>
    <row r="238" spans="2:8" x14ac:dyDescent="0.25">
      <c r="B238" s="1" t="s">
        <v>283</v>
      </c>
      <c r="C238" s="5"/>
      <c r="D238" s="5"/>
      <c r="E238" s="5"/>
      <c r="F238" s="5"/>
      <c r="G238" s="5"/>
      <c r="H238" s="2"/>
    </row>
    <row r="239" spans="2:8" x14ac:dyDescent="0.25">
      <c r="B239" s="1" t="s">
        <v>284</v>
      </c>
      <c r="C239" s="5"/>
      <c r="D239" s="5"/>
      <c r="E239" s="5"/>
      <c r="F239" s="5"/>
      <c r="G239" s="5"/>
      <c r="H239" s="2"/>
    </row>
    <row r="240" spans="2:8" x14ac:dyDescent="0.25">
      <c r="B240" s="1" t="s">
        <v>285</v>
      </c>
      <c r="C240" s="5"/>
      <c r="D240" s="5"/>
      <c r="E240" s="5"/>
      <c r="F240" s="5"/>
      <c r="G240" s="5"/>
      <c r="H240" s="2"/>
    </row>
    <row r="241" spans="2:8" x14ac:dyDescent="0.25">
      <c r="B241" s="1" t="s">
        <v>286</v>
      </c>
      <c r="C241" s="5"/>
      <c r="D241" s="5"/>
      <c r="E241" s="5"/>
      <c r="F241" s="5"/>
      <c r="G241" s="5"/>
      <c r="H241" s="2"/>
    </row>
    <row r="242" spans="2:8" x14ac:dyDescent="0.25">
      <c r="B242" s="1" t="s">
        <v>287</v>
      </c>
      <c r="C242" s="5"/>
      <c r="D242" s="5"/>
      <c r="E242" s="5"/>
      <c r="F242" s="5"/>
      <c r="G242" s="5"/>
      <c r="H242" s="2"/>
    </row>
    <row r="243" spans="2:8" x14ac:dyDescent="0.25">
      <c r="B243" s="1" t="s">
        <v>288</v>
      </c>
      <c r="C243" s="5"/>
      <c r="D243" s="5"/>
      <c r="E243" s="5"/>
      <c r="F243" s="5"/>
      <c r="G243" s="5"/>
      <c r="H243" s="2"/>
    </row>
    <row r="244" spans="2:8" x14ac:dyDescent="0.25">
      <c r="B244" s="1" t="s">
        <v>289</v>
      </c>
      <c r="C244" s="5"/>
      <c r="D244" s="5"/>
      <c r="E244" s="5"/>
      <c r="F244" s="5"/>
      <c r="G244" s="5"/>
      <c r="H244" s="2"/>
    </row>
    <row r="245" spans="2:8" x14ac:dyDescent="0.25">
      <c r="B245" s="1" t="s">
        <v>290</v>
      </c>
      <c r="C245" s="5"/>
      <c r="D245" s="5"/>
      <c r="E245" s="5"/>
      <c r="F245" s="5"/>
      <c r="G245" s="5"/>
      <c r="H245" s="2"/>
    </row>
    <row r="246" spans="2:8" x14ac:dyDescent="0.25">
      <c r="B246" s="1" t="s">
        <v>291</v>
      </c>
      <c r="C246" s="5"/>
      <c r="D246" s="5"/>
      <c r="E246" s="5"/>
      <c r="F246" s="5"/>
      <c r="G246" s="5"/>
      <c r="H246" s="2"/>
    </row>
    <row r="247" spans="2:8" x14ac:dyDescent="0.25">
      <c r="B247" s="18"/>
      <c r="C247" s="18"/>
      <c r="D247" s="18"/>
      <c r="E247" s="18"/>
      <c r="F247" s="18"/>
      <c r="G247" s="18"/>
    </row>
  </sheetData>
  <autoFilter ref="A2:H202"/>
  <pageMargins left="0.7" right="0.7" top="0.75" bottom="0.75" header="0.3" footer="0.3"/>
  <pageSetup paperSize="9" scale="4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workbookViewId="0">
      <pane ySplit="3" topLeftCell="A4" activePane="bottomLeft" state="frozen"/>
      <selection pane="bottomLeft" activeCell="K58" sqref="K58"/>
    </sheetView>
  </sheetViews>
  <sheetFormatPr defaultRowHeight="15" x14ac:dyDescent="0.25"/>
  <cols>
    <col min="1" max="1" width="5.42578125" customWidth="1"/>
    <col min="2" max="2" width="49.28515625" customWidth="1"/>
    <col min="4" max="4" width="15.42578125" customWidth="1"/>
    <col min="5" max="5" width="13.85546875" customWidth="1"/>
  </cols>
  <sheetData>
    <row r="1" spans="1:5" x14ac:dyDescent="0.25">
      <c r="A1" t="s">
        <v>2</v>
      </c>
    </row>
    <row r="2" spans="1:5" x14ac:dyDescent="0.25">
      <c r="A2" t="s">
        <v>226</v>
      </c>
    </row>
    <row r="3" spans="1:5" x14ac:dyDescent="0.25">
      <c r="A3" s="4" t="s">
        <v>1</v>
      </c>
      <c r="B3" s="4" t="s">
        <v>3</v>
      </c>
      <c r="C3" s="4" t="s">
        <v>36</v>
      </c>
      <c r="D3" s="4" t="s">
        <v>37</v>
      </c>
      <c r="E3" s="4" t="s">
        <v>38</v>
      </c>
    </row>
    <row r="4" spans="1:5" x14ac:dyDescent="0.25">
      <c r="A4" s="4"/>
      <c r="B4" s="4"/>
      <c r="C4" s="4"/>
      <c r="D4" s="4"/>
      <c r="E4" s="4"/>
    </row>
    <row r="5" spans="1:5" x14ac:dyDescent="0.25">
      <c r="A5" s="5">
        <v>1</v>
      </c>
      <c r="B5" s="5" t="s">
        <v>109</v>
      </c>
      <c r="C5" s="2">
        <v>1</v>
      </c>
      <c r="D5" s="5" t="s">
        <v>6</v>
      </c>
      <c r="E5" s="5" t="s">
        <v>39</v>
      </c>
    </row>
    <row r="6" spans="1:5" x14ac:dyDescent="0.25">
      <c r="A6" s="5">
        <v>2</v>
      </c>
      <c r="B6" s="5" t="s">
        <v>188</v>
      </c>
      <c r="C6" s="2">
        <v>1</v>
      </c>
      <c r="D6" s="5" t="s">
        <v>8</v>
      </c>
      <c r="E6" s="5" t="s">
        <v>25</v>
      </c>
    </row>
    <row r="7" spans="1:5" x14ac:dyDescent="0.25">
      <c r="A7" s="5">
        <v>3</v>
      </c>
      <c r="B7" s="5" t="s">
        <v>110</v>
      </c>
      <c r="C7" s="2">
        <v>1</v>
      </c>
      <c r="D7" s="5" t="s">
        <v>8</v>
      </c>
      <c r="E7" s="5" t="s">
        <v>25</v>
      </c>
    </row>
    <row r="8" spans="1:5" x14ac:dyDescent="0.25">
      <c r="A8" s="5">
        <v>4</v>
      </c>
      <c r="B8" s="5" t="s">
        <v>111</v>
      </c>
      <c r="C8" s="2">
        <v>1</v>
      </c>
      <c r="D8" s="5" t="s">
        <v>9</v>
      </c>
      <c r="E8" s="5" t="s">
        <v>26</v>
      </c>
    </row>
    <row r="9" spans="1:5" x14ac:dyDescent="0.25">
      <c r="A9" s="5">
        <v>5</v>
      </c>
      <c r="B9" s="5" t="s">
        <v>112</v>
      </c>
      <c r="C9" s="2">
        <v>3</v>
      </c>
      <c r="D9" s="5" t="s">
        <v>9</v>
      </c>
      <c r="E9" s="5" t="s">
        <v>26</v>
      </c>
    </row>
    <row r="10" spans="1:5" x14ac:dyDescent="0.25">
      <c r="A10" s="5">
        <v>6</v>
      </c>
      <c r="B10" s="5" t="s">
        <v>7</v>
      </c>
      <c r="C10" s="2">
        <v>1</v>
      </c>
      <c r="D10" s="5" t="s">
        <v>9</v>
      </c>
      <c r="E10" s="5" t="s">
        <v>26</v>
      </c>
    </row>
    <row r="11" spans="1:5" x14ac:dyDescent="0.25">
      <c r="A11" s="5">
        <v>7</v>
      </c>
      <c r="B11" s="5" t="s">
        <v>10</v>
      </c>
      <c r="C11" s="2">
        <v>1</v>
      </c>
      <c r="D11" s="5" t="s">
        <v>9</v>
      </c>
      <c r="E11" s="5" t="s">
        <v>26</v>
      </c>
    </row>
    <row r="12" spans="1:5" x14ac:dyDescent="0.25">
      <c r="A12" s="5">
        <v>8</v>
      </c>
      <c r="B12" s="5" t="s">
        <v>11</v>
      </c>
      <c r="C12" s="2">
        <v>1</v>
      </c>
      <c r="D12" s="5" t="s">
        <v>9</v>
      </c>
      <c r="E12" s="5" t="s">
        <v>26</v>
      </c>
    </row>
    <row r="13" spans="1:5" x14ac:dyDescent="0.25">
      <c r="A13" s="5">
        <v>9</v>
      </c>
      <c r="B13" s="5" t="s">
        <v>12</v>
      </c>
      <c r="C13" s="2">
        <v>1</v>
      </c>
      <c r="D13" s="5" t="s">
        <v>9</v>
      </c>
      <c r="E13" s="5" t="s">
        <v>26</v>
      </c>
    </row>
    <row r="14" spans="1:5" x14ac:dyDescent="0.25">
      <c r="A14" s="5">
        <v>10</v>
      </c>
      <c r="B14" s="5" t="s">
        <v>13</v>
      </c>
      <c r="C14" s="2">
        <v>1</v>
      </c>
      <c r="D14" s="5" t="s">
        <v>9</v>
      </c>
      <c r="E14" s="5" t="s">
        <v>27</v>
      </c>
    </row>
    <row r="15" spans="1:5" x14ac:dyDescent="0.25">
      <c r="A15" s="5">
        <v>11</v>
      </c>
      <c r="B15" s="5" t="s">
        <v>14</v>
      </c>
      <c r="C15" s="2">
        <v>1</v>
      </c>
      <c r="D15" s="5" t="s">
        <v>9</v>
      </c>
      <c r="E15" s="5" t="s">
        <v>27</v>
      </c>
    </row>
    <row r="16" spans="1:5" x14ac:dyDescent="0.25">
      <c r="A16" s="5">
        <v>12</v>
      </c>
      <c r="B16" s="5" t="s">
        <v>15</v>
      </c>
      <c r="C16" s="2">
        <v>1</v>
      </c>
      <c r="D16" s="5" t="s">
        <v>9</v>
      </c>
      <c r="E16" s="5" t="s">
        <v>26</v>
      </c>
    </row>
    <row r="17" spans="1:5" x14ac:dyDescent="0.25">
      <c r="A17" s="5">
        <v>13</v>
      </c>
      <c r="B17" s="5" t="s">
        <v>16</v>
      </c>
      <c r="C17" s="2">
        <v>1</v>
      </c>
      <c r="D17" s="5" t="s">
        <v>9</v>
      </c>
      <c r="E17" s="5" t="s">
        <v>26</v>
      </c>
    </row>
    <row r="18" spans="1:5" x14ac:dyDescent="0.25">
      <c r="A18" s="5">
        <v>14</v>
      </c>
      <c r="B18" s="5" t="s">
        <v>17</v>
      </c>
      <c r="C18" s="2">
        <v>2</v>
      </c>
      <c r="D18" s="5" t="s">
        <v>9</v>
      </c>
      <c r="E18" s="5" t="s">
        <v>26</v>
      </c>
    </row>
    <row r="19" spans="1:5" x14ac:dyDescent="0.25">
      <c r="A19" s="5">
        <v>15</v>
      </c>
      <c r="B19" s="5" t="s">
        <v>19</v>
      </c>
      <c r="C19" s="2">
        <v>1</v>
      </c>
      <c r="D19" s="5" t="s">
        <v>9</v>
      </c>
      <c r="E19" s="5" t="s">
        <v>27</v>
      </c>
    </row>
    <row r="20" spans="1:5" x14ac:dyDescent="0.25">
      <c r="A20" s="5">
        <v>16</v>
      </c>
      <c r="B20" s="5" t="s">
        <v>18</v>
      </c>
      <c r="C20" s="2">
        <v>1</v>
      </c>
      <c r="D20" s="5" t="s">
        <v>9</v>
      </c>
      <c r="E20" s="5" t="s">
        <v>27</v>
      </c>
    </row>
    <row r="21" spans="1:5" x14ac:dyDescent="0.25">
      <c r="A21" s="5">
        <v>17</v>
      </c>
      <c r="B21" s="5" t="s">
        <v>20</v>
      </c>
      <c r="C21" s="2">
        <v>1</v>
      </c>
      <c r="D21" s="5" t="s">
        <v>9</v>
      </c>
      <c r="E21" s="5" t="s">
        <v>26</v>
      </c>
    </row>
    <row r="22" spans="1:5" x14ac:dyDescent="0.25">
      <c r="A22" s="5">
        <v>18</v>
      </c>
      <c r="B22" s="5" t="s">
        <v>20</v>
      </c>
      <c r="C22" s="2">
        <v>2</v>
      </c>
      <c r="D22" s="5" t="s">
        <v>9</v>
      </c>
      <c r="E22" s="5" t="s">
        <v>26</v>
      </c>
    </row>
    <row r="23" spans="1:5" x14ac:dyDescent="0.25">
      <c r="A23" s="5">
        <v>19</v>
      </c>
      <c r="B23" s="5" t="s">
        <v>21</v>
      </c>
      <c r="C23" s="2">
        <v>1</v>
      </c>
      <c r="D23" s="5" t="s">
        <v>9</v>
      </c>
      <c r="E23" s="5" t="s">
        <v>26</v>
      </c>
    </row>
    <row r="24" spans="1:5" x14ac:dyDescent="0.25">
      <c r="A24" s="5">
        <v>20</v>
      </c>
      <c r="B24" s="5" t="s">
        <v>22</v>
      </c>
      <c r="C24" s="2">
        <v>12</v>
      </c>
      <c r="D24" s="5" t="s">
        <v>9</v>
      </c>
      <c r="E24" s="5" t="s">
        <v>26</v>
      </c>
    </row>
    <row r="25" spans="1:5" x14ac:dyDescent="0.25">
      <c r="A25" s="5">
        <v>21</v>
      </c>
      <c r="B25" s="5" t="s">
        <v>22</v>
      </c>
      <c r="C25" s="2">
        <v>3</v>
      </c>
      <c r="D25" s="5" t="s">
        <v>9</v>
      </c>
      <c r="E25" s="5" t="s">
        <v>26</v>
      </c>
    </row>
    <row r="26" spans="1:5" x14ac:dyDescent="0.25">
      <c r="A26" s="5">
        <v>22</v>
      </c>
      <c r="B26" s="5" t="s">
        <v>23</v>
      </c>
      <c r="C26" s="2">
        <v>3</v>
      </c>
      <c r="D26" s="5" t="s">
        <v>9</v>
      </c>
      <c r="E26" s="5" t="s">
        <v>26</v>
      </c>
    </row>
    <row r="27" spans="1:5" x14ac:dyDescent="0.25">
      <c r="A27" s="5">
        <v>23</v>
      </c>
      <c r="B27" s="5" t="s">
        <v>24</v>
      </c>
      <c r="C27" s="2">
        <v>1</v>
      </c>
      <c r="D27" s="5" t="s">
        <v>9</v>
      </c>
      <c r="E27" s="5" t="s">
        <v>26</v>
      </c>
    </row>
    <row r="28" spans="1:5" x14ac:dyDescent="0.25">
      <c r="A28" s="5">
        <v>24</v>
      </c>
      <c r="B28" s="5" t="s">
        <v>105</v>
      </c>
      <c r="C28" s="2">
        <v>2</v>
      </c>
      <c r="D28" s="5" t="s">
        <v>9</v>
      </c>
      <c r="E28" s="5" t="s">
        <v>26</v>
      </c>
    </row>
    <row r="29" spans="1:5" x14ac:dyDescent="0.25">
      <c r="A29" s="5"/>
      <c r="B29" s="5" t="s">
        <v>225</v>
      </c>
      <c r="C29" s="2"/>
      <c r="D29" s="5"/>
      <c r="E29" s="5"/>
    </row>
    <row r="30" spans="1:5" x14ac:dyDescent="0.25">
      <c r="A30" s="5">
        <v>25</v>
      </c>
      <c r="B30" s="1" t="s">
        <v>113</v>
      </c>
      <c r="C30" s="2">
        <v>4</v>
      </c>
      <c r="D30" s="5" t="s">
        <v>4</v>
      </c>
      <c r="E30" s="5" t="s">
        <v>5</v>
      </c>
    </row>
    <row r="31" spans="1:5" x14ac:dyDescent="0.25">
      <c r="A31" s="5">
        <v>26</v>
      </c>
      <c r="B31" s="1" t="s">
        <v>28</v>
      </c>
      <c r="C31" s="2">
        <v>2</v>
      </c>
      <c r="D31" s="5" t="s">
        <v>4</v>
      </c>
      <c r="E31" s="5" t="s">
        <v>5</v>
      </c>
    </row>
    <row r="32" spans="1:5" x14ac:dyDescent="0.25">
      <c r="A32" s="5">
        <v>27</v>
      </c>
      <c r="B32" s="1" t="s">
        <v>29</v>
      </c>
      <c r="C32" s="2">
        <v>1</v>
      </c>
      <c r="D32" s="5" t="s">
        <v>4</v>
      </c>
      <c r="E32" s="5" t="s">
        <v>5</v>
      </c>
    </row>
    <row r="33" spans="1:5" x14ac:dyDescent="0.25">
      <c r="A33" s="5">
        <v>28</v>
      </c>
      <c r="B33" s="1" t="s">
        <v>34</v>
      </c>
      <c r="C33" s="2">
        <v>1</v>
      </c>
      <c r="D33" s="5" t="s">
        <v>4</v>
      </c>
      <c r="E33" s="5" t="s">
        <v>5</v>
      </c>
    </row>
    <row r="34" spans="1:5" x14ac:dyDescent="0.25">
      <c r="A34" s="5">
        <v>29</v>
      </c>
      <c r="B34" s="1" t="s">
        <v>35</v>
      </c>
      <c r="C34" s="2">
        <v>1</v>
      </c>
      <c r="D34" s="5" t="s">
        <v>4</v>
      </c>
      <c r="E34" s="5" t="s">
        <v>5</v>
      </c>
    </row>
    <row r="35" spans="1:5" x14ac:dyDescent="0.25">
      <c r="A35" s="5">
        <v>30</v>
      </c>
      <c r="B35" s="1" t="s">
        <v>30</v>
      </c>
      <c r="C35" s="2">
        <v>2</v>
      </c>
      <c r="D35" s="5" t="s">
        <v>4</v>
      </c>
      <c r="E35" s="5" t="s">
        <v>5</v>
      </c>
    </row>
    <row r="36" spans="1:5" x14ac:dyDescent="0.25">
      <c r="A36" s="5">
        <v>31</v>
      </c>
      <c r="B36" s="1" t="s">
        <v>31</v>
      </c>
      <c r="C36" s="2">
        <v>2</v>
      </c>
      <c r="D36" s="5" t="s">
        <v>4</v>
      </c>
      <c r="E36" s="5" t="s">
        <v>5</v>
      </c>
    </row>
    <row r="37" spans="1:5" x14ac:dyDescent="0.25">
      <c r="A37" s="5">
        <v>32</v>
      </c>
      <c r="B37" s="1" t="s">
        <v>115</v>
      </c>
      <c r="C37" s="2">
        <v>1</v>
      </c>
      <c r="D37" s="5" t="s">
        <v>4</v>
      </c>
      <c r="E37" s="5" t="s">
        <v>5</v>
      </c>
    </row>
    <row r="38" spans="1:5" x14ac:dyDescent="0.25">
      <c r="A38" s="5">
        <v>33</v>
      </c>
      <c r="B38" s="1" t="s">
        <v>114</v>
      </c>
      <c r="C38" s="2">
        <v>2</v>
      </c>
      <c r="D38" s="5" t="s">
        <v>4</v>
      </c>
      <c r="E38" s="5" t="s">
        <v>5</v>
      </c>
    </row>
    <row r="39" spans="1:5" x14ac:dyDescent="0.25">
      <c r="A39" s="5">
        <v>34</v>
      </c>
      <c r="B39" s="1" t="s">
        <v>116</v>
      </c>
      <c r="C39" s="2">
        <v>2</v>
      </c>
      <c r="D39" s="5" t="s">
        <v>4</v>
      </c>
      <c r="E39" s="5" t="s">
        <v>5</v>
      </c>
    </row>
    <row r="40" spans="1:5" x14ac:dyDescent="0.25">
      <c r="A40" s="5">
        <v>35</v>
      </c>
      <c r="B40" s="1" t="s">
        <v>117</v>
      </c>
      <c r="C40" s="3">
        <v>1</v>
      </c>
      <c r="D40" s="5" t="s">
        <v>4</v>
      </c>
      <c r="E40" s="5" t="s">
        <v>5</v>
      </c>
    </row>
    <row r="41" spans="1:5" x14ac:dyDescent="0.25">
      <c r="A41" s="5">
        <v>36</v>
      </c>
      <c r="B41" s="1" t="s">
        <v>118</v>
      </c>
      <c r="C41" s="3">
        <v>2</v>
      </c>
      <c r="D41" s="5" t="s">
        <v>4</v>
      </c>
      <c r="E41" s="5" t="s">
        <v>5</v>
      </c>
    </row>
    <row r="42" spans="1:5" x14ac:dyDescent="0.25">
      <c r="A42" s="5">
        <v>37</v>
      </c>
      <c r="B42" s="1" t="s">
        <v>119</v>
      </c>
      <c r="C42" s="3">
        <v>2</v>
      </c>
      <c r="D42" s="5" t="s">
        <v>4</v>
      </c>
      <c r="E42" s="5" t="s">
        <v>5</v>
      </c>
    </row>
    <row r="43" spans="1:5" x14ac:dyDescent="0.25">
      <c r="A43" s="5">
        <v>38</v>
      </c>
      <c r="B43" s="1" t="s">
        <v>120</v>
      </c>
      <c r="C43" s="3">
        <v>5</v>
      </c>
      <c r="D43" s="5" t="s">
        <v>4</v>
      </c>
      <c r="E43" s="5" t="s">
        <v>5</v>
      </c>
    </row>
    <row r="44" spans="1:5" x14ac:dyDescent="0.25">
      <c r="A44" s="5">
        <v>39</v>
      </c>
      <c r="B44" s="1" t="s">
        <v>121</v>
      </c>
      <c r="C44" s="3">
        <v>5</v>
      </c>
      <c r="D44" s="5" t="s">
        <v>4</v>
      </c>
      <c r="E44" s="5" t="s">
        <v>5</v>
      </c>
    </row>
    <row r="45" spans="1:5" x14ac:dyDescent="0.25">
      <c r="A45" s="5">
        <v>40</v>
      </c>
      <c r="B45" s="1" t="s">
        <v>122</v>
      </c>
      <c r="C45" s="3">
        <v>2</v>
      </c>
      <c r="D45" s="5" t="s">
        <v>4</v>
      </c>
      <c r="E45" s="5" t="s">
        <v>5</v>
      </c>
    </row>
    <row r="46" spans="1:5" x14ac:dyDescent="0.25">
      <c r="A46" s="5">
        <v>41</v>
      </c>
      <c r="B46" s="1" t="s">
        <v>123</v>
      </c>
      <c r="C46" s="2">
        <v>1</v>
      </c>
      <c r="D46" s="5" t="s">
        <v>4</v>
      </c>
      <c r="E46" s="5" t="s">
        <v>5</v>
      </c>
    </row>
    <row r="47" spans="1:5" x14ac:dyDescent="0.25">
      <c r="A47" s="5">
        <v>42</v>
      </c>
      <c r="B47" s="1" t="s">
        <v>124</v>
      </c>
      <c r="C47" s="2">
        <v>1</v>
      </c>
      <c r="D47" s="5" t="s">
        <v>4</v>
      </c>
      <c r="E47" s="5" t="s">
        <v>5</v>
      </c>
    </row>
    <row r="48" spans="1:5" x14ac:dyDescent="0.25">
      <c r="A48" s="5">
        <v>43</v>
      </c>
      <c r="B48" s="1" t="s">
        <v>125</v>
      </c>
      <c r="C48" s="2">
        <v>1</v>
      </c>
      <c r="D48" s="5" t="s">
        <v>4</v>
      </c>
      <c r="E48" s="5" t="s">
        <v>5</v>
      </c>
    </row>
    <row r="49" spans="1:5" x14ac:dyDescent="0.25">
      <c r="A49" s="5">
        <v>44</v>
      </c>
      <c r="B49" s="1" t="s">
        <v>126</v>
      </c>
      <c r="C49" s="2">
        <v>1</v>
      </c>
      <c r="D49" s="5" t="s">
        <v>4</v>
      </c>
      <c r="E49" s="5" t="s">
        <v>5</v>
      </c>
    </row>
    <row r="50" spans="1:5" x14ac:dyDescent="0.25">
      <c r="A50" s="5">
        <v>45</v>
      </c>
      <c r="B50" s="1" t="s">
        <v>127</v>
      </c>
      <c r="C50" s="2">
        <v>1</v>
      </c>
      <c r="D50" s="5" t="s">
        <v>4</v>
      </c>
      <c r="E50" s="5" t="s">
        <v>5</v>
      </c>
    </row>
    <row r="51" spans="1:5" x14ac:dyDescent="0.25">
      <c r="A51" s="5">
        <v>46</v>
      </c>
      <c r="B51" s="1" t="s">
        <v>128</v>
      </c>
      <c r="C51" s="2">
        <v>1</v>
      </c>
      <c r="D51" s="5" t="s">
        <v>4</v>
      </c>
      <c r="E51" s="5" t="s">
        <v>5</v>
      </c>
    </row>
    <row r="52" spans="1:5" x14ac:dyDescent="0.25">
      <c r="A52" s="5">
        <v>47</v>
      </c>
      <c r="B52" s="1" t="s">
        <v>129</v>
      </c>
      <c r="C52" s="2">
        <v>1</v>
      </c>
      <c r="D52" s="5" t="s">
        <v>4</v>
      </c>
      <c r="E52" s="5" t="s">
        <v>5</v>
      </c>
    </row>
    <row r="53" spans="1:5" x14ac:dyDescent="0.25">
      <c r="A53" s="5">
        <v>48</v>
      </c>
      <c r="B53" s="1" t="s">
        <v>130</v>
      </c>
      <c r="C53" s="2">
        <v>2</v>
      </c>
      <c r="D53" s="5" t="s">
        <v>4</v>
      </c>
      <c r="E53" s="5" t="s">
        <v>5</v>
      </c>
    </row>
    <row r="54" spans="1:5" x14ac:dyDescent="0.25">
      <c r="A54" s="5">
        <v>49</v>
      </c>
      <c r="B54" s="1" t="s">
        <v>131</v>
      </c>
      <c r="C54" s="2">
        <v>4</v>
      </c>
      <c r="D54" s="5" t="s">
        <v>4</v>
      </c>
      <c r="E54" s="5" t="s">
        <v>5</v>
      </c>
    </row>
    <row r="55" spans="1:5" x14ac:dyDescent="0.25">
      <c r="A55" s="5">
        <v>50</v>
      </c>
      <c r="B55" s="1" t="s">
        <v>132</v>
      </c>
      <c r="C55" s="2">
        <v>1</v>
      </c>
      <c r="D55" s="5" t="s">
        <v>4</v>
      </c>
      <c r="E55" s="5" t="s">
        <v>5</v>
      </c>
    </row>
    <row r="56" spans="1:5" x14ac:dyDescent="0.25">
      <c r="A56" s="5">
        <v>51</v>
      </c>
      <c r="B56" s="1" t="s">
        <v>133</v>
      </c>
      <c r="C56" s="2">
        <v>12</v>
      </c>
      <c r="D56" s="5" t="s">
        <v>4</v>
      </c>
      <c r="E56" s="5" t="s">
        <v>5</v>
      </c>
    </row>
    <row r="57" spans="1:5" x14ac:dyDescent="0.25">
      <c r="A57" s="5">
        <v>52</v>
      </c>
      <c r="B57" s="1" t="s">
        <v>134</v>
      </c>
      <c r="C57" s="2">
        <v>1</v>
      </c>
      <c r="D57" s="5" t="s">
        <v>4</v>
      </c>
      <c r="E57" s="5" t="s">
        <v>5</v>
      </c>
    </row>
    <row r="58" spans="1:5" x14ac:dyDescent="0.25">
      <c r="A58" s="5">
        <v>53</v>
      </c>
      <c r="B58" s="1" t="s">
        <v>32</v>
      </c>
      <c r="C58" s="2">
        <v>1</v>
      </c>
      <c r="D58" s="5" t="s">
        <v>4</v>
      </c>
      <c r="E58" s="5" t="s">
        <v>5</v>
      </c>
    </row>
    <row r="59" spans="1:5" x14ac:dyDescent="0.25">
      <c r="A59" s="5">
        <v>54</v>
      </c>
      <c r="B59" s="1" t="s">
        <v>135</v>
      </c>
      <c r="C59" s="2">
        <v>1</v>
      </c>
      <c r="D59" s="5" t="s">
        <v>4</v>
      </c>
      <c r="E59" s="5" t="s">
        <v>5</v>
      </c>
    </row>
    <row r="60" spans="1:5" x14ac:dyDescent="0.25">
      <c r="A60" s="5">
        <v>55</v>
      </c>
      <c r="B60" s="1" t="s">
        <v>136</v>
      </c>
      <c r="C60" s="2">
        <v>1</v>
      </c>
      <c r="D60" s="5" t="s">
        <v>4</v>
      </c>
      <c r="E60" s="5" t="s">
        <v>5</v>
      </c>
    </row>
    <row r="61" spans="1:5" x14ac:dyDescent="0.25">
      <c r="A61" s="5">
        <v>56</v>
      </c>
      <c r="B61" s="1" t="s">
        <v>137</v>
      </c>
      <c r="C61" s="2">
        <v>2</v>
      </c>
      <c r="D61" s="5" t="s">
        <v>4</v>
      </c>
      <c r="E61" s="5" t="s">
        <v>5</v>
      </c>
    </row>
    <row r="62" spans="1:5" x14ac:dyDescent="0.25">
      <c r="A62" s="5">
        <v>57</v>
      </c>
      <c r="B62" s="1" t="s">
        <v>138</v>
      </c>
      <c r="C62" s="3">
        <v>1</v>
      </c>
      <c r="D62" s="5" t="s">
        <v>4</v>
      </c>
      <c r="E62" s="5" t="s">
        <v>5</v>
      </c>
    </row>
    <row r="63" spans="1:5" x14ac:dyDescent="0.25">
      <c r="A63" s="5">
        <v>58</v>
      </c>
      <c r="B63" s="1" t="s">
        <v>139</v>
      </c>
      <c r="C63" s="2">
        <v>1</v>
      </c>
      <c r="D63" s="5" t="s">
        <v>4</v>
      </c>
      <c r="E63" s="5" t="s">
        <v>5</v>
      </c>
    </row>
    <row r="64" spans="1:5" x14ac:dyDescent="0.25">
      <c r="A64" s="5">
        <v>59</v>
      </c>
      <c r="B64" s="1" t="s">
        <v>140</v>
      </c>
      <c r="C64" s="2">
        <v>1</v>
      </c>
      <c r="D64" s="5" t="s">
        <v>4</v>
      </c>
      <c r="E64" s="5" t="s">
        <v>5</v>
      </c>
    </row>
    <row r="65" spans="1:5" x14ac:dyDescent="0.25">
      <c r="A65" s="5">
        <v>60</v>
      </c>
      <c r="B65" s="1" t="s">
        <v>141</v>
      </c>
      <c r="C65" s="2">
        <v>1</v>
      </c>
      <c r="D65" s="5" t="s">
        <v>4</v>
      </c>
      <c r="E65" s="5" t="s">
        <v>5</v>
      </c>
    </row>
    <row r="66" spans="1:5" x14ac:dyDescent="0.25">
      <c r="A66" s="5">
        <v>61</v>
      </c>
      <c r="B66" s="1" t="s">
        <v>142</v>
      </c>
      <c r="C66" s="2">
        <v>1</v>
      </c>
      <c r="D66" s="5" t="s">
        <v>4</v>
      </c>
      <c r="E66" s="5" t="s">
        <v>5</v>
      </c>
    </row>
    <row r="67" spans="1:5" x14ac:dyDescent="0.25">
      <c r="A67" s="5">
        <v>62</v>
      </c>
      <c r="B67" s="1" t="s">
        <v>33</v>
      </c>
      <c r="C67" s="2">
        <v>2</v>
      </c>
      <c r="D67" s="5" t="s">
        <v>4</v>
      </c>
      <c r="E67" s="5" t="s">
        <v>5</v>
      </c>
    </row>
    <row r="68" spans="1:5" x14ac:dyDescent="0.25">
      <c r="A68" s="5">
        <v>63</v>
      </c>
      <c r="B68" s="1" t="s">
        <v>143</v>
      </c>
      <c r="C68" s="2">
        <v>1</v>
      </c>
      <c r="D68" s="5" t="s">
        <v>4</v>
      </c>
      <c r="E68" s="5" t="s">
        <v>5</v>
      </c>
    </row>
    <row r="69" spans="1:5" x14ac:dyDescent="0.25">
      <c r="A69" s="5">
        <v>64</v>
      </c>
      <c r="B69" s="1" t="s">
        <v>144</v>
      </c>
      <c r="C69" s="2">
        <v>1</v>
      </c>
      <c r="D69" s="5" t="s">
        <v>4</v>
      </c>
      <c r="E69" s="5" t="s">
        <v>5</v>
      </c>
    </row>
    <row r="70" spans="1:5" x14ac:dyDescent="0.25">
      <c r="A70" s="5">
        <v>65</v>
      </c>
      <c r="B70" s="5" t="s">
        <v>145</v>
      </c>
      <c r="C70" s="2">
        <v>1</v>
      </c>
      <c r="D70" s="5" t="s">
        <v>42</v>
      </c>
      <c r="E70" s="5"/>
    </row>
    <row r="71" spans="1:5" x14ac:dyDescent="0.25">
      <c r="A71" s="5">
        <v>66</v>
      </c>
      <c r="B71" s="1" t="s">
        <v>146</v>
      </c>
      <c r="C71" s="2">
        <v>1</v>
      </c>
      <c r="D71" s="5" t="s">
        <v>42</v>
      </c>
      <c r="E71" s="5"/>
    </row>
    <row r="72" spans="1:5" x14ac:dyDescent="0.25">
      <c r="A72" s="5">
        <v>67</v>
      </c>
      <c r="B72" s="1" t="s">
        <v>147</v>
      </c>
      <c r="C72" s="2">
        <v>1</v>
      </c>
      <c r="D72" s="5" t="s">
        <v>42</v>
      </c>
      <c r="E72" s="5"/>
    </row>
    <row r="73" spans="1:5" x14ac:dyDescent="0.25">
      <c r="A73" s="5">
        <v>68</v>
      </c>
      <c r="B73" s="1" t="s">
        <v>148</v>
      </c>
      <c r="C73" s="2">
        <v>1</v>
      </c>
      <c r="D73" s="5" t="s">
        <v>42</v>
      </c>
      <c r="E73" s="5"/>
    </row>
    <row r="74" spans="1:5" x14ac:dyDescent="0.25">
      <c r="A74" s="5">
        <v>69</v>
      </c>
      <c r="B74" s="1" t="s">
        <v>149</v>
      </c>
      <c r="C74" s="2">
        <v>1</v>
      </c>
      <c r="D74" s="5" t="s">
        <v>42</v>
      </c>
      <c r="E74" s="5"/>
    </row>
    <row r="75" spans="1:5" x14ac:dyDescent="0.25">
      <c r="A75" s="5">
        <v>70</v>
      </c>
      <c r="B75" s="1" t="s">
        <v>150</v>
      </c>
      <c r="C75" s="2">
        <v>1</v>
      </c>
      <c r="D75" s="5" t="s">
        <v>42</v>
      </c>
      <c r="E75" s="5"/>
    </row>
    <row r="76" spans="1:5" x14ac:dyDescent="0.25">
      <c r="A76" s="5">
        <v>71</v>
      </c>
      <c r="B76" s="1" t="s">
        <v>151</v>
      </c>
      <c r="C76" s="2">
        <v>1</v>
      </c>
      <c r="D76" s="5" t="s">
        <v>42</v>
      </c>
      <c r="E76" s="5"/>
    </row>
    <row r="77" spans="1:5" x14ac:dyDescent="0.25">
      <c r="A77" s="5">
        <v>72</v>
      </c>
      <c r="B77" s="1" t="s">
        <v>152</v>
      </c>
      <c r="C77" s="2">
        <v>1</v>
      </c>
      <c r="D77" s="5" t="s">
        <v>42</v>
      </c>
      <c r="E77" s="5"/>
    </row>
    <row r="78" spans="1:5" x14ac:dyDescent="0.25">
      <c r="A78" s="5">
        <v>73</v>
      </c>
      <c r="B78" s="1" t="s">
        <v>153</v>
      </c>
      <c r="C78" s="2">
        <v>1</v>
      </c>
      <c r="D78" s="5" t="s">
        <v>42</v>
      </c>
      <c r="E78" s="5"/>
    </row>
    <row r="79" spans="1:5" x14ac:dyDescent="0.25">
      <c r="A79" s="5">
        <v>74</v>
      </c>
      <c r="B79" s="1" t="s">
        <v>154</v>
      </c>
      <c r="C79" s="2">
        <v>1</v>
      </c>
      <c r="D79" s="5" t="s">
        <v>42</v>
      </c>
      <c r="E79" s="5"/>
    </row>
    <row r="80" spans="1:5" x14ac:dyDescent="0.25">
      <c r="A80" s="5">
        <v>75</v>
      </c>
      <c r="B80" s="1" t="s">
        <v>155</v>
      </c>
      <c r="C80" s="2">
        <v>1</v>
      </c>
      <c r="D80" s="5" t="s">
        <v>42</v>
      </c>
      <c r="E80" s="5"/>
    </row>
    <row r="81" spans="1:5" x14ac:dyDescent="0.25">
      <c r="A81" s="5">
        <v>76</v>
      </c>
      <c r="B81" s="1" t="s">
        <v>156</v>
      </c>
      <c r="C81" s="2">
        <v>4</v>
      </c>
      <c r="D81" s="5" t="s">
        <v>42</v>
      </c>
      <c r="E81" s="5"/>
    </row>
    <row r="82" spans="1:5" x14ac:dyDescent="0.25">
      <c r="A82" s="5">
        <v>77</v>
      </c>
      <c r="B82" s="1" t="s">
        <v>157</v>
      </c>
      <c r="C82" s="2">
        <v>4</v>
      </c>
      <c r="D82" s="5" t="s">
        <v>42</v>
      </c>
      <c r="E82" s="5"/>
    </row>
    <row r="83" spans="1:5" x14ac:dyDescent="0.25">
      <c r="A83" s="5">
        <v>78</v>
      </c>
      <c r="B83" s="1" t="s">
        <v>158</v>
      </c>
      <c r="C83" s="2">
        <v>2</v>
      </c>
      <c r="D83" s="5" t="s">
        <v>42</v>
      </c>
      <c r="E83" s="5"/>
    </row>
    <row r="84" spans="1:5" x14ac:dyDescent="0.25">
      <c r="A84" s="5">
        <v>79</v>
      </c>
      <c r="B84" s="1" t="s">
        <v>159</v>
      </c>
      <c r="C84" s="2">
        <v>5</v>
      </c>
      <c r="D84" s="5" t="s">
        <v>42</v>
      </c>
      <c r="E84" s="5"/>
    </row>
    <row r="85" spans="1:5" x14ac:dyDescent="0.25">
      <c r="A85" s="5">
        <v>80</v>
      </c>
      <c r="B85" s="1" t="s">
        <v>40</v>
      </c>
      <c r="C85" s="2">
        <v>1</v>
      </c>
      <c r="D85" s="5" t="s">
        <v>42</v>
      </c>
      <c r="E85" s="5"/>
    </row>
    <row r="86" spans="1:5" x14ac:dyDescent="0.25">
      <c r="A86" s="5">
        <v>81</v>
      </c>
      <c r="B86" s="1" t="s">
        <v>160</v>
      </c>
      <c r="C86" s="2">
        <v>2</v>
      </c>
      <c r="D86" s="5" t="s">
        <v>42</v>
      </c>
      <c r="E86" s="5"/>
    </row>
    <row r="87" spans="1:5" x14ac:dyDescent="0.25">
      <c r="A87" s="5">
        <v>82</v>
      </c>
      <c r="B87" s="1" t="s">
        <v>161</v>
      </c>
      <c r="C87" s="2">
        <v>2</v>
      </c>
      <c r="D87" s="5" t="s">
        <v>42</v>
      </c>
      <c r="E87" s="5"/>
    </row>
    <row r="88" spans="1:5" x14ac:dyDescent="0.25">
      <c r="A88" s="5">
        <v>83</v>
      </c>
      <c r="B88" s="1" t="s">
        <v>162</v>
      </c>
      <c r="C88" s="2">
        <v>1</v>
      </c>
      <c r="D88" s="5" t="s">
        <v>42</v>
      </c>
      <c r="E88" s="5"/>
    </row>
    <row r="89" spans="1:5" x14ac:dyDescent="0.25">
      <c r="A89" s="5">
        <v>84</v>
      </c>
      <c r="B89" s="1" t="s">
        <v>163</v>
      </c>
      <c r="C89" s="2">
        <v>1</v>
      </c>
      <c r="D89" s="5" t="s">
        <v>42</v>
      </c>
      <c r="E89" s="5"/>
    </row>
    <row r="90" spans="1:5" x14ac:dyDescent="0.25">
      <c r="A90" s="5">
        <v>85</v>
      </c>
      <c r="B90" s="1" t="s">
        <v>164</v>
      </c>
      <c r="C90" s="2">
        <v>1</v>
      </c>
      <c r="D90" s="5" t="s">
        <v>42</v>
      </c>
      <c r="E90" s="5"/>
    </row>
    <row r="91" spans="1:5" x14ac:dyDescent="0.25">
      <c r="A91" s="5">
        <v>86</v>
      </c>
      <c r="B91" s="1" t="s">
        <v>165</v>
      </c>
      <c r="C91" s="2">
        <v>1</v>
      </c>
      <c r="D91" s="5" t="s">
        <v>43</v>
      </c>
      <c r="E91" s="5" t="s">
        <v>39</v>
      </c>
    </row>
    <row r="92" spans="1:5" x14ac:dyDescent="0.25">
      <c r="A92" s="5">
        <v>87</v>
      </c>
      <c r="B92" s="1" t="s">
        <v>41</v>
      </c>
      <c r="C92" s="2">
        <v>2</v>
      </c>
      <c r="D92" s="5" t="s">
        <v>43</v>
      </c>
      <c r="E92" s="5" t="s">
        <v>39</v>
      </c>
    </row>
    <row r="93" spans="1:5" x14ac:dyDescent="0.25">
      <c r="A93" s="5">
        <v>88</v>
      </c>
      <c r="B93" s="1" t="s">
        <v>178</v>
      </c>
      <c r="C93" s="2">
        <v>1</v>
      </c>
      <c r="D93" s="5" t="s">
        <v>42</v>
      </c>
      <c r="E93" s="5"/>
    </row>
    <row r="94" spans="1:5" x14ac:dyDescent="0.25">
      <c r="A94" s="5">
        <v>89</v>
      </c>
      <c r="B94" s="1" t="s">
        <v>166</v>
      </c>
      <c r="C94" s="2">
        <v>1</v>
      </c>
      <c r="D94" s="5" t="s">
        <v>42</v>
      </c>
      <c r="E94" s="5"/>
    </row>
    <row r="95" spans="1:5" x14ac:dyDescent="0.25">
      <c r="A95" s="5">
        <v>90</v>
      </c>
      <c r="B95" s="1" t="s">
        <v>167</v>
      </c>
      <c r="C95" s="2">
        <v>1</v>
      </c>
      <c r="D95" s="5" t="s">
        <v>42</v>
      </c>
      <c r="E95" s="5"/>
    </row>
    <row r="96" spans="1:5" x14ac:dyDescent="0.25">
      <c r="A96" s="5">
        <v>91</v>
      </c>
      <c r="B96" s="1" t="s">
        <v>168</v>
      </c>
      <c r="C96" s="2">
        <v>1</v>
      </c>
      <c r="D96" s="5" t="s">
        <v>43</v>
      </c>
      <c r="E96" s="5"/>
    </row>
    <row r="97" spans="1:5" x14ac:dyDescent="0.25">
      <c r="A97" s="5">
        <v>92</v>
      </c>
      <c r="B97" s="1" t="s">
        <v>169</v>
      </c>
      <c r="C97" s="2">
        <v>1</v>
      </c>
      <c r="D97" s="5" t="s">
        <v>43</v>
      </c>
      <c r="E97" s="5"/>
    </row>
    <row r="98" spans="1:5" x14ac:dyDescent="0.25">
      <c r="A98" s="5">
        <v>93</v>
      </c>
      <c r="B98" s="1" t="s">
        <v>170</v>
      </c>
      <c r="C98" s="2">
        <v>1</v>
      </c>
      <c r="D98" s="5" t="s">
        <v>42</v>
      </c>
      <c r="E98" s="5"/>
    </row>
    <row r="99" spans="1:5" x14ac:dyDescent="0.25">
      <c r="A99" s="5">
        <v>94</v>
      </c>
      <c r="B99" s="1" t="s">
        <v>171</v>
      </c>
      <c r="C99" s="2">
        <v>1</v>
      </c>
      <c r="D99" s="5" t="s">
        <v>42</v>
      </c>
      <c r="E99" s="5"/>
    </row>
    <row r="100" spans="1:5" x14ac:dyDescent="0.25">
      <c r="A100" s="5">
        <v>95</v>
      </c>
      <c r="B100" s="1" t="s">
        <v>172</v>
      </c>
      <c r="C100" s="2">
        <v>1</v>
      </c>
      <c r="D100" s="5" t="s">
        <v>42</v>
      </c>
      <c r="E100" s="5"/>
    </row>
    <row r="101" spans="1:5" x14ac:dyDescent="0.25">
      <c r="A101" s="5">
        <v>96</v>
      </c>
      <c r="B101" s="1" t="s">
        <v>44</v>
      </c>
      <c r="C101" s="3">
        <v>2</v>
      </c>
      <c r="D101" s="5" t="s">
        <v>43</v>
      </c>
      <c r="E101" s="5"/>
    </row>
    <row r="102" spans="1:5" x14ac:dyDescent="0.25">
      <c r="A102" s="5">
        <v>97</v>
      </c>
      <c r="B102" s="1" t="s">
        <v>45</v>
      </c>
      <c r="C102" s="3">
        <v>2</v>
      </c>
      <c r="D102" s="5" t="s">
        <v>43</v>
      </c>
      <c r="E102" s="5"/>
    </row>
    <row r="103" spans="1:5" x14ac:dyDescent="0.25">
      <c r="A103" s="5">
        <v>98</v>
      </c>
      <c r="B103" s="1" t="s">
        <v>46</v>
      </c>
      <c r="C103" s="3">
        <v>4</v>
      </c>
      <c r="D103" s="5" t="s">
        <v>43</v>
      </c>
      <c r="E103" s="5"/>
    </row>
    <row r="104" spans="1:5" x14ac:dyDescent="0.25">
      <c r="A104" s="5">
        <v>99</v>
      </c>
      <c r="B104" s="1" t="s">
        <v>47</v>
      </c>
      <c r="C104" s="3">
        <v>2</v>
      </c>
      <c r="D104" s="5" t="s">
        <v>43</v>
      </c>
      <c r="E104" s="5"/>
    </row>
    <row r="105" spans="1:5" x14ac:dyDescent="0.25">
      <c r="A105" s="5">
        <v>100</v>
      </c>
      <c r="B105" s="1" t="s">
        <v>48</v>
      </c>
      <c r="C105" s="3">
        <v>2</v>
      </c>
      <c r="D105" s="5" t="s">
        <v>43</v>
      </c>
      <c r="E105" s="5"/>
    </row>
    <row r="106" spans="1:5" x14ac:dyDescent="0.25">
      <c r="A106" s="5">
        <v>101</v>
      </c>
      <c r="B106" s="1" t="s">
        <v>49</v>
      </c>
      <c r="C106" s="3">
        <v>1</v>
      </c>
      <c r="D106" s="5" t="s">
        <v>43</v>
      </c>
      <c r="E106" s="5"/>
    </row>
    <row r="107" spans="1:5" x14ac:dyDescent="0.25">
      <c r="A107" s="5">
        <v>102</v>
      </c>
      <c r="B107" s="1" t="s">
        <v>50</v>
      </c>
      <c r="C107" s="3">
        <v>4</v>
      </c>
      <c r="D107" s="5" t="s">
        <v>43</v>
      </c>
      <c r="E107" s="5"/>
    </row>
    <row r="108" spans="1:5" x14ac:dyDescent="0.25">
      <c r="A108" s="5">
        <v>103</v>
      </c>
      <c r="B108" s="1" t="s">
        <v>51</v>
      </c>
      <c r="C108" s="3">
        <v>2</v>
      </c>
      <c r="D108" s="1" t="s">
        <v>58</v>
      </c>
      <c r="E108" s="5"/>
    </row>
    <row r="109" spans="1:5" x14ac:dyDescent="0.25">
      <c r="A109" s="5">
        <v>104</v>
      </c>
      <c r="B109" s="1" t="s">
        <v>52</v>
      </c>
      <c r="C109" s="3">
        <v>1</v>
      </c>
      <c r="D109" s="1" t="s">
        <v>58</v>
      </c>
      <c r="E109" s="5"/>
    </row>
    <row r="110" spans="1:5" x14ac:dyDescent="0.25">
      <c r="A110" s="5">
        <v>105</v>
      </c>
      <c r="B110" s="1" t="s">
        <v>53</v>
      </c>
      <c r="C110" s="3">
        <v>1</v>
      </c>
      <c r="D110" s="1" t="s">
        <v>58</v>
      </c>
      <c r="E110" s="5"/>
    </row>
    <row r="111" spans="1:5" x14ac:dyDescent="0.25">
      <c r="A111" s="5">
        <v>106</v>
      </c>
      <c r="B111" s="1" t="s">
        <v>54</v>
      </c>
      <c r="C111" s="3">
        <v>1</v>
      </c>
      <c r="D111" s="1" t="s">
        <v>58</v>
      </c>
      <c r="E111" s="5"/>
    </row>
    <row r="112" spans="1:5" x14ac:dyDescent="0.25">
      <c r="A112" s="5">
        <v>107</v>
      </c>
      <c r="B112" s="1" t="s">
        <v>55</v>
      </c>
      <c r="C112" s="3">
        <v>1</v>
      </c>
      <c r="D112" s="1" t="s">
        <v>58</v>
      </c>
      <c r="E112" s="5"/>
    </row>
    <row r="113" spans="1:5" x14ac:dyDescent="0.25">
      <c r="A113" s="5">
        <v>108</v>
      </c>
      <c r="B113" s="1" t="s">
        <v>56</v>
      </c>
      <c r="C113" s="3">
        <v>1</v>
      </c>
      <c r="D113" s="1" t="s">
        <v>58</v>
      </c>
      <c r="E113" s="5"/>
    </row>
    <row r="114" spans="1:5" x14ac:dyDescent="0.25">
      <c r="A114" s="5">
        <v>109</v>
      </c>
      <c r="B114" s="1" t="s">
        <v>57</v>
      </c>
      <c r="C114" s="3">
        <v>1</v>
      </c>
      <c r="D114" s="1" t="s">
        <v>58</v>
      </c>
      <c r="E114" s="5"/>
    </row>
    <row r="115" spans="1:5" x14ac:dyDescent="0.25">
      <c r="A115" s="5">
        <v>110</v>
      </c>
      <c r="B115" s="1" t="s">
        <v>59</v>
      </c>
      <c r="C115" s="3">
        <v>4</v>
      </c>
      <c r="D115" s="5" t="s">
        <v>43</v>
      </c>
      <c r="E115" s="5"/>
    </row>
    <row r="116" spans="1:5" x14ac:dyDescent="0.25">
      <c r="A116" s="5">
        <v>111</v>
      </c>
      <c r="B116" s="1" t="s">
        <v>60</v>
      </c>
      <c r="C116" s="3">
        <v>1</v>
      </c>
      <c r="D116" s="5" t="s">
        <v>43</v>
      </c>
      <c r="E116" s="5" t="s">
        <v>103</v>
      </c>
    </row>
    <row r="117" spans="1:5" x14ac:dyDescent="0.25">
      <c r="A117" s="5">
        <v>112</v>
      </c>
      <c r="B117" s="1" t="s">
        <v>106</v>
      </c>
      <c r="C117" s="3">
        <v>1</v>
      </c>
      <c r="D117" s="5" t="s">
        <v>43</v>
      </c>
      <c r="E117" s="5"/>
    </row>
    <row r="118" spans="1:5" x14ac:dyDescent="0.25">
      <c r="A118" s="5">
        <v>113</v>
      </c>
      <c r="B118" s="1" t="s">
        <v>77</v>
      </c>
      <c r="C118" s="3">
        <v>3</v>
      </c>
      <c r="D118" s="5" t="s">
        <v>82</v>
      </c>
      <c r="E118" s="5"/>
    </row>
    <row r="119" spans="1:5" x14ac:dyDescent="0.25">
      <c r="A119" s="5">
        <v>114</v>
      </c>
      <c r="B119" s="1" t="s">
        <v>78</v>
      </c>
      <c r="C119" s="3">
        <v>3</v>
      </c>
      <c r="D119" s="5" t="s">
        <v>82</v>
      </c>
      <c r="E119" s="5"/>
    </row>
    <row r="120" spans="1:5" x14ac:dyDescent="0.25">
      <c r="A120" s="5">
        <v>115</v>
      </c>
      <c r="B120" s="1" t="s">
        <v>79</v>
      </c>
      <c r="C120" s="3">
        <v>7</v>
      </c>
      <c r="D120" s="5" t="s">
        <v>82</v>
      </c>
      <c r="E120" s="5"/>
    </row>
    <row r="121" spans="1:5" x14ac:dyDescent="0.25">
      <c r="A121" s="5">
        <v>116</v>
      </c>
      <c r="B121" s="1" t="s">
        <v>0</v>
      </c>
      <c r="C121" s="3">
        <v>4</v>
      </c>
      <c r="D121" s="5" t="s">
        <v>83</v>
      </c>
      <c r="E121" s="5"/>
    </row>
    <row r="122" spans="1:5" x14ac:dyDescent="0.25">
      <c r="A122" s="5">
        <v>117</v>
      </c>
      <c r="B122" s="1" t="s">
        <v>61</v>
      </c>
      <c r="C122" s="3">
        <v>4</v>
      </c>
      <c r="D122" s="5" t="s">
        <v>83</v>
      </c>
      <c r="E122" s="5"/>
    </row>
    <row r="123" spans="1:5" x14ac:dyDescent="0.25">
      <c r="A123" s="5">
        <v>118</v>
      </c>
      <c r="B123" s="1" t="s">
        <v>62</v>
      </c>
      <c r="C123" s="3">
        <v>2</v>
      </c>
      <c r="D123" s="5" t="s">
        <v>83</v>
      </c>
      <c r="E123" s="5"/>
    </row>
    <row r="124" spans="1:5" x14ac:dyDescent="0.25">
      <c r="A124" s="5">
        <v>119</v>
      </c>
      <c r="B124" s="1" t="s">
        <v>63</v>
      </c>
      <c r="C124" s="3">
        <v>1</v>
      </c>
      <c r="D124" s="5" t="s">
        <v>83</v>
      </c>
      <c r="E124" s="5"/>
    </row>
    <row r="125" spans="1:5" x14ac:dyDescent="0.25">
      <c r="A125" s="5">
        <v>120</v>
      </c>
      <c r="B125" s="1" t="s">
        <v>64</v>
      </c>
      <c r="C125" s="3">
        <v>5</v>
      </c>
      <c r="D125" s="5" t="s">
        <v>83</v>
      </c>
      <c r="E125" s="5"/>
    </row>
    <row r="126" spans="1:5" x14ac:dyDescent="0.25">
      <c r="A126" s="5">
        <v>121</v>
      </c>
      <c r="B126" s="1" t="s">
        <v>65</v>
      </c>
      <c r="C126" s="3">
        <v>1</v>
      </c>
      <c r="D126" s="5" t="s">
        <v>83</v>
      </c>
      <c r="E126" s="5"/>
    </row>
    <row r="127" spans="1:5" x14ac:dyDescent="0.25">
      <c r="A127" s="5">
        <v>122</v>
      </c>
      <c r="B127" s="1" t="s">
        <v>66</v>
      </c>
      <c r="C127" s="3">
        <v>1</v>
      </c>
      <c r="D127" s="5" t="s">
        <v>83</v>
      </c>
      <c r="E127" s="5"/>
    </row>
    <row r="128" spans="1:5" x14ac:dyDescent="0.25">
      <c r="A128" s="5">
        <v>123</v>
      </c>
      <c r="B128" s="1" t="s">
        <v>67</v>
      </c>
      <c r="C128" s="3">
        <v>4</v>
      </c>
      <c r="D128" s="5" t="s">
        <v>83</v>
      </c>
      <c r="E128" s="5"/>
    </row>
    <row r="129" spans="1:5" x14ac:dyDescent="0.25">
      <c r="A129" s="5">
        <v>124</v>
      </c>
      <c r="B129" s="1" t="s">
        <v>68</v>
      </c>
      <c r="C129" s="3">
        <v>4</v>
      </c>
      <c r="D129" s="5" t="s">
        <v>83</v>
      </c>
      <c r="E129" s="5"/>
    </row>
    <row r="130" spans="1:5" x14ac:dyDescent="0.25">
      <c r="A130" s="5">
        <v>125</v>
      </c>
      <c r="B130" s="1" t="s">
        <v>69</v>
      </c>
      <c r="C130" s="3">
        <v>2</v>
      </c>
      <c r="D130" s="5" t="s">
        <v>83</v>
      </c>
      <c r="E130" s="5"/>
    </row>
    <row r="131" spans="1:5" x14ac:dyDescent="0.25">
      <c r="A131" s="5">
        <v>126</v>
      </c>
      <c r="B131" s="1" t="s">
        <v>70</v>
      </c>
      <c r="C131" s="3">
        <v>5</v>
      </c>
      <c r="D131" s="5" t="s">
        <v>83</v>
      </c>
      <c r="E131" s="5"/>
    </row>
    <row r="132" spans="1:5" x14ac:dyDescent="0.25">
      <c r="A132" s="5">
        <v>127</v>
      </c>
      <c r="B132" s="1" t="s">
        <v>71</v>
      </c>
      <c r="C132" s="3">
        <v>8</v>
      </c>
      <c r="D132" s="5" t="s">
        <v>83</v>
      </c>
      <c r="E132" s="5"/>
    </row>
    <row r="133" spans="1:5" x14ac:dyDescent="0.25">
      <c r="A133" s="5">
        <v>128</v>
      </c>
      <c r="B133" s="1" t="s">
        <v>72</v>
      </c>
      <c r="C133" s="3">
        <v>8</v>
      </c>
      <c r="D133" s="5" t="s">
        <v>83</v>
      </c>
      <c r="E133" s="5"/>
    </row>
    <row r="134" spans="1:5" x14ac:dyDescent="0.25">
      <c r="A134" s="5">
        <v>129</v>
      </c>
      <c r="B134" s="1" t="s">
        <v>73</v>
      </c>
      <c r="C134" s="3">
        <v>3</v>
      </c>
      <c r="D134" s="5" t="s">
        <v>83</v>
      </c>
      <c r="E134" s="5"/>
    </row>
    <row r="135" spans="1:5" x14ac:dyDescent="0.25">
      <c r="A135" s="5">
        <v>130</v>
      </c>
      <c r="B135" s="1" t="s">
        <v>74</v>
      </c>
      <c r="C135" s="3">
        <v>5</v>
      </c>
      <c r="D135" s="5" t="s">
        <v>83</v>
      </c>
      <c r="E135" s="5"/>
    </row>
    <row r="136" spans="1:5" x14ac:dyDescent="0.25">
      <c r="A136" s="5">
        <v>131</v>
      </c>
      <c r="B136" s="1" t="s">
        <v>75</v>
      </c>
      <c r="C136" s="3">
        <v>1</v>
      </c>
      <c r="D136" s="5" t="s">
        <v>83</v>
      </c>
      <c r="E136" s="5"/>
    </row>
    <row r="137" spans="1:5" x14ac:dyDescent="0.25">
      <c r="A137" s="5">
        <v>132</v>
      </c>
      <c r="B137" s="1" t="s">
        <v>76</v>
      </c>
      <c r="C137" s="3">
        <v>4</v>
      </c>
      <c r="D137" s="5" t="s">
        <v>83</v>
      </c>
      <c r="E137" s="5"/>
    </row>
    <row r="138" spans="1:5" x14ac:dyDescent="0.25">
      <c r="A138" s="5">
        <v>133</v>
      </c>
      <c r="B138" s="1" t="s">
        <v>80</v>
      </c>
      <c r="C138" s="3">
        <v>2</v>
      </c>
      <c r="D138" s="5" t="s">
        <v>83</v>
      </c>
      <c r="E138" s="5"/>
    </row>
    <row r="139" spans="1:5" x14ac:dyDescent="0.25">
      <c r="A139" s="5">
        <v>134</v>
      </c>
      <c r="B139" s="1" t="s">
        <v>81</v>
      </c>
      <c r="C139" s="3">
        <v>5</v>
      </c>
      <c r="D139" s="5" t="s">
        <v>83</v>
      </c>
      <c r="E139" s="5"/>
    </row>
    <row r="140" spans="1:5" x14ac:dyDescent="0.25">
      <c r="A140" s="5">
        <v>135</v>
      </c>
      <c r="B140" s="1" t="s">
        <v>84</v>
      </c>
      <c r="C140" s="3">
        <v>8</v>
      </c>
      <c r="D140" s="5" t="s">
        <v>83</v>
      </c>
      <c r="E140" s="5"/>
    </row>
    <row r="141" spans="1:5" x14ac:dyDescent="0.25">
      <c r="A141" s="5">
        <v>136</v>
      </c>
      <c r="B141" s="1" t="s">
        <v>85</v>
      </c>
      <c r="C141" s="3">
        <v>10</v>
      </c>
      <c r="D141" s="5" t="s">
        <v>83</v>
      </c>
      <c r="E141" s="5"/>
    </row>
    <row r="142" spans="1:5" x14ac:dyDescent="0.25">
      <c r="A142" s="5">
        <v>137</v>
      </c>
      <c r="B142" s="1" t="s">
        <v>86</v>
      </c>
      <c r="C142" s="3">
        <v>18</v>
      </c>
      <c r="D142" s="5" t="s">
        <v>83</v>
      </c>
      <c r="E142" s="5"/>
    </row>
    <row r="143" spans="1:5" x14ac:dyDescent="0.25">
      <c r="A143" s="5">
        <v>138</v>
      </c>
      <c r="B143" s="1" t="s">
        <v>87</v>
      </c>
      <c r="C143" s="3">
        <v>1</v>
      </c>
      <c r="D143" s="5" t="s">
        <v>83</v>
      </c>
      <c r="E143" s="5"/>
    </row>
    <row r="144" spans="1:5" x14ac:dyDescent="0.25">
      <c r="A144" s="5">
        <v>139</v>
      </c>
      <c r="B144" s="1" t="s">
        <v>88</v>
      </c>
      <c r="C144" s="3">
        <v>1</v>
      </c>
      <c r="D144" s="5" t="s">
        <v>83</v>
      </c>
      <c r="E144" s="5"/>
    </row>
    <row r="145" spans="1:5" x14ac:dyDescent="0.25">
      <c r="A145" s="5">
        <v>140</v>
      </c>
      <c r="B145" s="1" t="s">
        <v>89</v>
      </c>
      <c r="C145" s="3">
        <v>1</v>
      </c>
      <c r="D145" s="5" t="s">
        <v>83</v>
      </c>
      <c r="E145" s="5"/>
    </row>
    <row r="146" spans="1:5" x14ac:dyDescent="0.25">
      <c r="A146" s="5">
        <v>141</v>
      </c>
      <c r="B146" s="1" t="s">
        <v>96</v>
      </c>
      <c r="C146" s="3">
        <v>1</v>
      </c>
      <c r="D146" s="5" t="s">
        <v>83</v>
      </c>
      <c r="E146" s="5"/>
    </row>
    <row r="147" spans="1:5" x14ac:dyDescent="0.25">
      <c r="A147" s="5">
        <v>142</v>
      </c>
      <c r="B147" s="1" t="s">
        <v>97</v>
      </c>
      <c r="C147" s="3">
        <v>1</v>
      </c>
      <c r="D147" s="5" t="s">
        <v>83</v>
      </c>
      <c r="E147" s="5"/>
    </row>
    <row r="148" spans="1:5" x14ac:dyDescent="0.25">
      <c r="A148" s="5">
        <v>143</v>
      </c>
      <c r="B148" s="1" t="s">
        <v>98</v>
      </c>
      <c r="C148" s="3">
        <v>1</v>
      </c>
      <c r="D148" s="5" t="s">
        <v>83</v>
      </c>
      <c r="E148" s="5"/>
    </row>
    <row r="149" spans="1:5" x14ac:dyDescent="0.25">
      <c r="A149" s="5">
        <v>144</v>
      </c>
      <c r="B149" s="1" t="s">
        <v>99</v>
      </c>
      <c r="C149" s="3">
        <v>1</v>
      </c>
      <c r="D149" s="5" t="s">
        <v>102</v>
      </c>
      <c r="E149" s="5"/>
    </row>
    <row r="150" spans="1:5" x14ac:dyDescent="0.25">
      <c r="A150" s="5">
        <v>145</v>
      </c>
      <c r="B150" s="1" t="s">
        <v>100</v>
      </c>
      <c r="C150" s="3">
        <v>1</v>
      </c>
      <c r="D150" s="5" t="s">
        <v>102</v>
      </c>
      <c r="E150" s="5"/>
    </row>
    <row r="151" spans="1:5" x14ac:dyDescent="0.25">
      <c r="A151" s="5">
        <v>146</v>
      </c>
      <c r="B151" s="1" t="s">
        <v>101</v>
      </c>
      <c r="C151" s="3">
        <v>1</v>
      </c>
      <c r="D151" s="5" t="s">
        <v>102</v>
      </c>
      <c r="E151" s="5"/>
    </row>
    <row r="152" spans="1:5" x14ac:dyDescent="0.25">
      <c r="A152" s="5">
        <v>147</v>
      </c>
      <c r="B152" s="1" t="s">
        <v>90</v>
      </c>
      <c r="C152" s="3">
        <v>1</v>
      </c>
      <c r="D152" s="1" t="s">
        <v>95</v>
      </c>
      <c r="E152" s="5"/>
    </row>
    <row r="153" spans="1:5" x14ac:dyDescent="0.25">
      <c r="A153" s="5">
        <v>148</v>
      </c>
      <c r="B153" s="1" t="s">
        <v>91</v>
      </c>
      <c r="C153" s="3">
        <v>1</v>
      </c>
      <c r="D153" s="1" t="s">
        <v>95</v>
      </c>
      <c r="E153" s="5"/>
    </row>
    <row r="154" spans="1:5" x14ac:dyDescent="0.25">
      <c r="A154" s="5">
        <v>149</v>
      </c>
      <c r="B154" s="1" t="s">
        <v>92</v>
      </c>
      <c r="C154" s="3">
        <v>1</v>
      </c>
      <c r="D154" s="1" t="s">
        <v>43</v>
      </c>
      <c r="E154" s="5" t="s">
        <v>27</v>
      </c>
    </row>
    <row r="155" spans="1:5" x14ac:dyDescent="0.25">
      <c r="A155" s="5">
        <v>150</v>
      </c>
      <c r="B155" s="1" t="s">
        <v>228</v>
      </c>
      <c r="C155" s="3">
        <v>1</v>
      </c>
      <c r="D155" s="1" t="s">
        <v>43</v>
      </c>
      <c r="E155" s="5" t="s">
        <v>27</v>
      </c>
    </row>
    <row r="156" spans="1:5" x14ac:dyDescent="0.25">
      <c r="A156" s="5">
        <v>151</v>
      </c>
      <c r="B156" s="1" t="s">
        <v>94</v>
      </c>
      <c r="C156" s="3">
        <v>2</v>
      </c>
      <c r="D156" s="1" t="s">
        <v>43</v>
      </c>
      <c r="E156" s="5" t="s">
        <v>27</v>
      </c>
    </row>
    <row r="157" spans="1:5" x14ac:dyDescent="0.25">
      <c r="A157" s="5">
        <v>152</v>
      </c>
      <c r="B157" s="1" t="s">
        <v>108</v>
      </c>
      <c r="C157" s="3"/>
      <c r="D157" s="1"/>
      <c r="E157" s="5"/>
    </row>
    <row r="158" spans="1:5" x14ac:dyDescent="0.25">
      <c r="A158" s="5">
        <v>153</v>
      </c>
      <c r="B158" s="1" t="s">
        <v>104</v>
      </c>
      <c r="C158" s="3"/>
      <c r="D158" s="5"/>
      <c r="E158" s="5"/>
    </row>
    <row r="159" spans="1:5" x14ac:dyDescent="0.25">
      <c r="A159" s="5">
        <v>154</v>
      </c>
      <c r="B159" s="1" t="s">
        <v>107</v>
      </c>
      <c r="C159" s="3"/>
      <c r="D159" s="5"/>
      <c r="E159" s="5"/>
    </row>
    <row r="160" spans="1:5" x14ac:dyDescent="0.25">
      <c r="A160" s="5"/>
      <c r="B160" s="1" t="s">
        <v>227</v>
      </c>
      <c r="C160" s="3"/>
      <c r="D160" s="5"/>
      <c r="E160" s="5"/>
    </row>
    <row r="161" spans="1:5" x14ac:dyDescent="0.25">
      <c r="A161" s="5">
        <v>155</v>
      </c>
      <c r="B161" s="1" t="s">
        <v>186</v>
      </c>
      <c r="C161" s="3">
        <v>2</v>
      </c>
      <c r="D161" s="1" t="s">
        <v>43</v>
      </c>
      <c r="E161" s="5" t="s">
        <v>27</v>
      </c>
    </row>
    <row r="162" spans="1:5" x14ac:dyDescent="0.25">
      <c r="B162" s="11" t="s">
        <v>233</v>
      </c>
      <c r="C162" s="3"/>
    </row>
    <row r="163" spans="1:5" x14ac:dyDescent="0.25">
      <c r="B163" t="s">
        <v>229</v>
      </c>
    </row>
    <row r="164" spans="1:5" x14ac:dyDescent="0.25">
      <c r="B164" t="s">
        <v>230</v>
      </c>
    </row>
    <row r="165" spans="1:5" x14ac:dyDescent="0.25">
      <c r="B165" t="s">
        <v>231</v>
      </c>
    </row>
    <row r="166" spans="1:5" x14ac:dyDescent="0.25">
      <c r="B166" t="s">
        <v>232</v>
      </c>
    </row>
  </sheetData>
  <autoFilter ref="A3:F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>
      <selection activeCell="A24" sqref="A24"/>
    </sheetView>
  </sheetViews>
  <sheetFormatPr defaultRowHeight="15" x14ac:dyDescent="0.25"/>
  <cols>
    <col min="2" max="2" width="31.5703125" customWidth="1"/>
  </cols>
  <sheetData>
    <row r="2" spans="2:3" x14ac:dyDescent="0.25">
      <c r="B2" s="11" t="s">
        <v>204</v>
      </c>
      <c r="C2">
        <v>6</v>
      </c>
    </row>
    <row r="3" spans="2:3" x14ac:dyDescent="0.25">
      <c r="B3" t="s">
        <v>206</v>
      </c>
      <c r="C3">
        <v>0.25</v>
      </c>
    </row>
    <row r="4" spans="2:3" x14ac:dyDescent="0.25">
      <c r="B4" t="s">
        <v>207</v>
      </c>
      <c r="C4">
        <v>2</v>
      </c>
    </row>
    <row r="5" spans="2:3" x14ac:dyDescent="0.25">
      <c r="B5" t="s">
        <v>211</v>
      </c>
      <c r="C5">
        <v>1</v>
      </c>
    </row>
    <row r="6" spans="2:3" x14ac:dyDescent="0.25">
      <c r="B6" t="s">
        <v>212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склад</vt:lpstr>
      <vt:lpstr>СНО-3П</vt:lpstr>
      <vt:lpstr>ШП.11-300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2024-04-07T16:25:59Z</dcterms:modified>
</cp:coreProperties>
</file>